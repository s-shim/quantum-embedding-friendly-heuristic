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Working\recursive_DF_fb_yt\recursive_DF_fb_yt\GUROBI_fb\"/>
    </mc:Choice>
  </mc:AlternateContent>
  <xr:revisionPtr revIDLastSave="0" documentId="13_ncr:1_{637B0D7C-364D-448A-80EC-FC2EA64B69FA}" xr6:coauthVersionLast="47" xr6:coauthVersionMax="47" xr10:uidLastSave="{00000000-0000-0000-0000-000000000000}"/>
  <bookViews>
    <workbookView xWindow="-108" yWindow="-108" windowWidth="30936" windowHeight="18696" tabRatio="500" activeTab="2" xr2:uid="{00000000-000D-0000-FFFF-FFFF00000000}"/>
  </bookViews>
  <sheets>
    <sheet name="Sheet1" sheetId="1" r:id="rId1"/>
    <sheet name="Solution Quality" sheetId="2" r:id="rId2"/>
    <sheet name="Computational Ti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1" i="1" l="1"/>
  <c r="O101" i="1"/>
  <c r="P100" i="1"/>
  <c r="O100" i="1"/>
  <c r="P99" i="1"/>
  <c r="O99" i="1"/>
  <c r="P98" i="1"/>
  <c r="O98" i="1"/>
  <c r="P97" i="1"/>
  <c r="O97" i="1"/>
  <c r="P96" i="1"/>
  <c r="O96" i="1"/>
  <c r="P95" i="1"/>
  <c r="O95" i="1"/>
  <c r="P94" i="1"/>
  <c r="O94" i="1"/>
  <c r="P93" i="1"/>
  <c r="O93" i="1"/>
  <c r="P92" i="1"/>
  <c r="O92" i="1"/>
  <c r="P91" i="1"/>
  <c r="O91" i="1"/>
  <c r="P90" i="1"/>
  <c r="O90" i="1"/>
  <c r="P89" i="1"/>
  <c r="O89" i="1"/>
  <c r="P88" i="1"/>
  <c r="O88" i="1"/>
  <c r="P87" i="1"/>
  <c r="O87" i="1"/>
  <c r="P86" i="1"/>
  <c r="O86" i="1"/>
  <c r="P85" i="1"/>
  <c r="O85" i="1"/>
  <c r="P84" i="1"/>
  <c r="O84" i="1"/>
  <c r="P83" i="1"/>
  <c r="O83" i="1"/>
  <c r="P82" i="1"/>
  <c r="O82" i="1"/>
  <c r="P81" i="1"/>
  <c r="O81" i="1"/>
  <c r="P80" i="1"/>
  <c r="O80" i="1"/>
  <c r="P79" i="1"/>
  <c r="O79" i="1"/>
  <c r="P78" i="1"/>
  <c r="O78" i="1"/>
  <c r="P77" i="1"/>
  <c r="O77" i="1"/>
  <c r="P76" i="1"/>
  <c r="O76" i="1"/>
  <c r="P75" i="1"/>
  <c r="O75" i="1"/>
  <c r="P74" i="1"/>
  <c r="O74" i="1"/>
  <c r="P73" i="1"/>
  <c r="O73" i="1"/>
  <c r="P72" i="1"/>
  <c r="O72" i="1"/>
  <c r="P71" i="1"/>
  <c r="O71" i="1"/>
  <c r="P70" i="1"/>
  <c r="O70" i="1"/>
  <c r="P69" i="1"/>
  <c r="O69" i="1"/>
  <c r="P68" i="1"/>
  <c r="O68" i="1"/>
  <c r="P67" i="1"/>
  <c r="O67" i="1"/>
  <c r="P66" i="1"/>
  <c r="O66" i="1"/>
  <c r="P65" i="1"/>
  <c r="O65" i="1"/>
  <c r="P64" i="1"/>
  <c r="O64" i="1"/>
  <c r="P63" i="1"/>
  <c r="O63" i="1"/>
  <c r="P62" i="1"/>
  <c r="O62" i="1"/>
  <c r="P61" i="1"/>
  <c r="O61" i="1"/>
  <c r="P60" i="1"/>
  <c r="O60" i="1"/>
  <c r="P59" i="1"/>
  <c r="O59" i="1"/>
  <c r="P58" i="1"/>
  <c r="O58" i="1"/>
  <c r="P57" i="1"/>
  <c r="O57" i="1"/>
  <c r="P56" i="1"/>
  <c r="O56" i="1"/>
  <c r="P55" i="1"/>
  <c r="O55" i="1"/>
  <c r="P54" i="1"/>
  <c r="O54" i="1"/>
  <c r="P53" i="1"/>
  <c r="O53" i="1"/>
  <c r="P52" i="1"/>
  <c r="O52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U11" i="1"/>
  <c r="V11" i="1" s="1"/>
  <c r="T11" i="1"/>
  <c r="P11" i="1"/>
  <c r="O11" i="1"/>
  <c r="U10" i="1"/>
  <c r="V10" i="1" s="1"/>
  <c r="T10" i="1"/>
  <c r="P10" i="1"/>
  <c r="O10" i="1"/>
  <c r="U9" i="1"/>
  <c r="V9" i="1" s="1"/>
  <c r="T9" i="1"/>
  <c r="P9" i="1"/>
  <c r="O9" i="1"/>
  <c r="U8" i="1"/>
  <c r="V8" i="1" s="1"/>
  <c r="T8" i="1"/>
  <c r="P8" i="1"/>
  <c r="O8" i="1"/>
  <c r="U7" i="1"/>
  <c r="T7" i="1"/>
  <c r="V7" i="1" s="1"/>
  <c r="P7" i="1"/>
  <c r="O7" i="1"/>
  <c r="V6" i="1"/>
  <c r="U6" i="1"/>
  <c r="T6" i="1"/>
  <c r="P6" i="1"/>
  <c r="O6" i="1"/>
  <c r="U5" i="1"/>
  <c r="V5" i="1" s="1"/>
  <c r="T5" i="1"/>
  <c r="P5" i="1"/>
  <c r="O5" i="1"/>
  <c r="V4" i="1"/>
  <c r="U4" i="1"/>
  <c r="T4" i="1"/>
  <c r="P4" i="1"/>
  <c r="O4" i="1"/>
  <c r="U3" i="1"/>
  <c r="V3" i="1" s="1"/>
  <c r="T3" i="1"/>
  <c r="P3" i="1"/>
  <c r="O3" i="1"/>
  <c r="U2" i="1"/>
  <c r="V2" i="1" s="1"/>
  <c r="T2" i="1"/>
  <c r="P2" i="1"/>
  <c r="O2" i="1"/>
</calcChain>
</file>

<file path=xl/sharedStrings.xml><?xml version="1.0" encoding="utf-8"?>
<sst xmlns="http://schemas.openxmlformats.org/spreadsheetml/2006/main" count="221" uniqueCount="125">
  <si>
    <t>Network_ID</t>
  </si>
  <si>
    <t>Rep_ID</t>
  </si>
  <si>
    <t>Users</t>
  </si>
  <si>
    <t>Conflict_Nodes</t>
  </si>
  <si>
    <t>Conflict_Edges</t>
  </si>
  <si>
    <t>Conflict_Density</t>
  </si>
  <si>
    <t>Opt_Revenue</t>
  </si>
  <si>
    <t>Opt_Time</t>
  </si>
  <si>
    <t>LS_Revenue</t>
  </si>
  <si>
    <t>LS_Time</t>
  </si>
  <si>
    <t>LS_Subproblems</t>
  </si>
  <si>
    <t>Theoretical_Time_Sec</t>
  </si>
  <si>
    <t>Infeasibility_Count</t>
  </si>
  <si>
    <t>Timestamp</t>
  </si>
  <si>
    <t>Administration_Time</t>
  </si>
  <si>
    <t>Quality_Pct</t>
  </si>
  <si>
    <t>Network_Label</t>
  </si>
  <si>
    <t>Avg_Opt_Revenue</t>
  </si>
  <si>
    <t>Avg_LS_Revenue</t>
  </si>
  <si>
    <t>Avg_Quality_Pct</t>
  </si>
  <si>
    <t>2026-07-09 10:23:45</t>
  </si>
  <si>
    <t/>
  </si>
  <si>
    <t>2026-07-09 10:23:46</t>
  </si>
  <si>
    <t>2026-07-09 10:23:47</t>
  </si>
  <si>
    <t>2026-07-09 10:23:48</t>
  </si>
  <si>
    <t>2026-07-09 10:23:49</t>
  </si>
  <si>
    <t>2026-07-09 10:23:50</t>
  </si>
  <si>
    <t>0</t>
  </si>
  <si>
    <t>2026-07-09 10:23:51</t>
  </si>
  <si>
    <t>2026-07-09 10:23:52</t>
  </si>
  <si>
    <t>2026-07-09 10:23:53</t>
  </si>
  <si>
    <t>2026-07-09 10:23:54</t>
  </si>
  <si>
    <t>2026-07-09 10:23:56</t>
  </si>
  <si>
    <t>2026-07-09 10:23:57</t>
  </si>
  <si>
    <t>2026-07-09 10:23:58</t>
  </si>
  <si>
    <t>2026-07-09 10:24:00</t>
  </si>
  <si>
    <t>2026-07-09 10:24:01</t>
  </si>
  <si>
    <t>2026-07-09 10:24:03</t>
  </si>
  <si>
    <t>1</t>
  </si>
  <si>
    <t>2026-07-09 10:24:05</t>
  </si>
  <si>
    <t>2026-07-09 10:24:07</t>
  </si>
  <si>
    <t>2026-07-09 10:24:09</t>
  </si>
  <si>
    <t>2026-07-09 10:24:12</t>
  </si>
  <si>
    <t>2026-07-09 10:24:13</t>
  </si>
  <si>
    <t>2026-07-09 10:24:14</t>
  </si>
  <si>
    <t>2026-07-09 10:24:15</t>
  </si>
  <si>
    <t>2026-07-09 10:24:16</t>
  </si>
  <si>
    <t>2026-07-09 10:24:17</t>
  </si>
  <si>
    <t>2026-07-09 10:24:18</t>
  </si>
  <si>
    <t>2</t>
  </si>
  <si>
    <t>2026-07-09 10:24:19</t>
  </si>
  <si>
    <t>2026-07-09 10:24:20</t>
  </si>
  <si>
    <t>2026-07-09 10:24:21</t>
  </si>
  <si>
    <t>2026-07-09 10:24:22</t>
  </si>
  <si>
    <t>2026-07-09 10:24:23</t>
  </si>
  <si>
    <t>2026-07-09 10:24:24</t>
  </si>
  <si>
    <t>2026-07-09 10:24:25</t>
  </si>
  <si>
    <t>2026-07-09 10:24:26</t>
  </si>
  <si>
    <t>2026-07-09 10:24:27</t>
  </si>
  <si>
    <t>3</t>
  </si>
  <si>
    <t>2026-07-09 10:24:28</t>
  </si>
  <si>
    <t>2026-07-09 10:24:29</t>
  </si>
  <si>
    <t>2026-07-09 10:24:30</t>
  </si>
  <si>
    <t>2026-07-09 10:24:31</t>
  </si>
  <si>
    <t>2026-07-09 10:24:32</t>
  </si>
  <si>
    <t>2026-07-09 10:24:33</t>
  </si>
  <si>
    <t>2026-07-09 10:24:34</t>
  </si>
  <si>
    <t>2026-07-09 10:24:35</t>
  </si>
  <si>
    <t>2026-07-09 10:24:36</t>
  </si>
  <si>
    <t>4</t>
  </si>
  <si>
    <t>2026-07-09 10:24:37</t>
  </si>
  <si>
    <t>2026-07-09 10:24:38</t>
  </si>
  <si>
    <t>2026-07-09 10:24:39</t>
  </si>
  <si>
    <t>2026-07-09 10:24:40</t>
  </si>
  <si>
    <t>2026-07-09 10:24:41</t>
  </si>
  <si>
    <t>2026-07-09 10:24:42</t>
  </si>
  <si>
    <t>2026-07-09 10:24:43</t>
  </si>
  <si>
    <t>2026-07-09 10:24:44</t>
  </si>
  <si>
    <t>2026-07-09 10:24:45</t>
  </si>
  <si>
    <t>5</t>
  </si>
  <si>
    <t>2026-07-09 10:24:46</t>
  </si>
  <si>
    <t>2026-07-09 10:24:47</t>
  </si>
  <si>
    <t>2026-07-09 10:24:48</t>
  </si>
  <si>
    <t>2026-07-09 10:24:50</t>
  </si>
  <si>
    <t>2026-07-09 10:24:51</t>
  </si>
  <si>
    <t>2026-07-09 10:24:53</t>
  </si>
  <si>
    <t>2026-07-09 10:24:55</t>
  </si>
  <si>
    <t>2026-07-09 10:24:57</t>
  </si>
  <si>
    <t>2026-07-09 10:24:58</t>
  </si>
  <si>
    <t>6</t>
  </si>
  <si>
    <t>2026-07-09 10:25:00</t>
  </si>
  <si>
    <t>2026-07-09 10:25:01</t>
  </si>
  <si>
    <t>2026-07-09 10:25:03</t>
  </si>
  <si>
    <t>2026-07-09 10:25:05</t>
  </si>
  <si>
    <t>2026-07-09 10:25:07</t>
  </si>
  <si>
    <t>2026-07-09 10:25:09</t>
  </si>
  <si>
    <t>2026-07-09 10:25:11</t>
  </si>
  <si>
    <t>2026-07-09 10:25:12</t>
  </si>
  <si>
    <t>2026-07-09 10:25:14</t>
  </si>
  <si>
    <t>2026-07-09 10:25:16</t>
  </si>
  <si>
    <t>7</t>
  </si>
  <si>
    <t>2026-07-09 10:25:18</t>
  </si>
  <si>
    <t>2026-07-09 10:25:19</t>
  </si>
  <si>
    <t>2026-07-09 10:25:21</t>
  </si>
  <si>
    <t>2026-07-09 10:25:22</t>
  </si>
  <si>
    <t>2026-07-09 10:25:24</t>
  </si>
  <si>
    <t>2026-07-09 10:25:25</t>
  </si>
  <si>
    <t>2026-07-09 10:25:26</t>
  </si>
  <si>
    <t>2026-07-09 10:25:28</t>
  </si>
  <si>
    <t>2026-07-09 10:25:29</t>
  </si>
  <si>
    <t>2026-07-09 10:25:31</t>
  </si>
  <si>
    <t>8</t>
  </si>
  <si>
    <t>2026-07-09 10:25:32</t>
  </si>
  <si>
    <t>2026-07-09 10:25:33</t>
  </si>
  <si>
    <t>2026-07-09 10:25:35</t>
  </si>
  <si>
    <t>2026-07-09 10:25:36</t>
  </si>
  <si>
    <t>2026-07-09 10:25:37</t>
  </si>
  <si>
    <t>2026-07-09 10:25:38</t>
  </si>
  <si>
    <t>2026-07-09 10:25:39</t>
  </si>
  <si>
    <t>2026-07-09 10:25:40</t>
  </si>
  <si>
    <t>2026-07-09 10:25:41</t>
  </si>
  <si>
    <t>9</t>
  </si>
  <si>
    <t>2026-07-09 10:25:42</t>
  </si>
  <si>
    <t>2026-07-09 10:25:43</t>
  </si>
  <si>
    <t>2026-07-09 10:25:44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</si>
</sst>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400" b="1"/>
            </a:pPr>
            <a:r>
              <a:rPr lang="en-US"/>
              <a:t>Optimal vs Heuristic Solution (Average per Network)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Sheet1!$T$1</c:f>
              <c:strCache>
                <c:ptCount val="1"/>
                <c:pt idx="0">
                  <c:v>Avg_Opt_Revenue</c:v>
                </c:pt>
              </c:strCache>
            </c:strRef>
          </c:tx>
          <c:spPr>
            <a:solidFill>
              <a:srgbClr val="4F81BD"/>
            </a:solidFill>
          </c:spPr>
          <c:invertIfNegative val="1"/>
          <c:cat>
            <c:numRef>
              <c:f>Sheet1!$S$2:$S$11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Sheet1!$T$2:$T$11</c:f>
              <c:numCache>
                <c:formatCode>General</c:formatCode>
                <c:ptCount val="10"/>
                <c:pt idx="0">
                  <c:v>29110</c:v>
                </c:pt>
                <c:pt idx="1">
                  <c:v>81090</c:v>
                </c:pt>
                <c:pt idx="2">
                  <c:v>18270</c:v>
                </c:pt>
                <c:pt idx="3">
                  <c:v>12660</c:v>
                </c:pt>
                <c:pt idx="4">
                  <c:v>13860</c:v>
                </c:pt>
                <c:pt idx="5">
                  <c:v>5720</c:v>
                </c:pt>
                <c:pt idx="6">
                  <c:v>61170</c:v>
                </c:pt>
                <c:pt idx="7">
                  <c:v>57430</c:v>
                </c:pt>
                <c:pt idx="8">
                  <c:v>44870</c:v>
                </c:pt>
                <c:pt idx="9">
                  <c:v>5300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8357-466F-9326-489B32161908}"/>
            </c:ext>
          </c:extLst>
        </c:ser>
        <c:ser>
          <c:idx val="1"/>
          <c:order val="1"/>
          <c:tx>
            <c:strRef>
              <c:f>Sheet1!$U$1</c:f>
              <c:strCache>
                <c:ptCount val="1"/>
                <c:pt idx="0">
                  <c:v>Avg_LS_Revenue</c:v>
                </c:pt>
              </c:strCache>
            </c:strRef>
          </c:tx>
          <c:spPr>
            <a:solidFill>
              <a:srgbClr val="C0504D"/>
            </a:solidFill>
          </c:spPr>
          <c:invertIfNegative val="1"/>
          <c:cat>
            <c:numRef>
              <c:f>Sheet1!$S$2:$S$11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Sheet1!$U$2:$U$11</c:f>
              <c:numCache>
                <c:formatCode>General</c:formatCode>
                <c:ptCount val="10"/>
                <c:pt idx="0">
                  <c:v>27970</c:v>
                </c:pt>
                <c:pt idx="1">
                  <c:v>77820</c:v>
                </c:pt>
                <c:pt idx="2">
                  <c:v>17720</c:v>
                </c:pt>
                <c:pt idx="3">
                  <c:v>11790</c:v>
                </c:pt>
                <c:pt idx="4">
                  <c:v>13290</c:v>
                </c:pt>
                <c:pt idx="5">
                  <c:v>5370</c:v>
                </c:pt>
                <c:pt idx="6">
                  <c:v>58940</c:v>
                </c:pt>
                <c:pt idx="7">
                  <c:v>55820</c:v>
                </c:pt>
                <c:pt idx="8">
                  <c:v>42350</c:v>
                </c:pt>
                <c:pt idx="9">
                  <c:v>5120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8357-466F-9326-489B32161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11111111"/>
        <c:axId val="222222222"/>
      </c:barChart>
      <c:lineChart>
        <c:grouping val="standard"/>
        <c:varyColors val="0"/>
        <c:ser>
          <c:idx val="2"/>
          <c:order val="2"/>
          <c:tx>
            <c:strRef>
              <c:f>Sheet1!$V$1</c:f>
              <c:strCache>
                <c:ptCount val="1"/>
                <c:pt idx="0">
                  <c:v>Avg_Quality_Pct</c:v>
                </c:pt>
              </c:strCache>
            </c:strRef>
          </c:tx>
          <c:spPr>
            <a:ln w="20000">
              <a:solidFill>
                <a:srgbClr val="9BBB59"/>
              </a:solidFill>
            </a:ln>
          </c:spPr>
          <c:marker>
            <c:symbol val="circle"/>
            <c:size val="6"/>
            <c:spPr>
              <a:solidFill>
                <a:srgbClr val="9BBB59"/>
              </a:solidFill>
            </c:spPr>
          </c:marker>
          <c:cat>
            <c:numRef>
              <c:f>Sheet1!$S$2:$S$11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Sheet1!$V$2:$V$11</c:f>
              <c:numCache>
                <c:formatCode>General</c:formatCode>
                <c:ptCount val="10"/>
                <c:pt idx="0">
                  <c:v>0.96083819993129504</c:v>
                </c:pt>
                <c:pt idx="1">
                  <c:v>0.95967443581206069</c:v>
                </c:pt>
                <c:pt idx="2">
                  <c:v>0.969896004378763</c:v>
                </c:pt>
                <c:pt idx="3">
                  <c:v>0.93127962085308058</c:v>
                </c:pt>
                <c:pt idx="4">
                  <c:v>0.95887445887445888</c:v>
                </c:pt>
                <c:pt idx="5">
                  <c:v>0.93881118881118886</c:v>
                </c:pt>
                <c:pt idx="6">
                  <c:v>0.96354422102337745</c:v>
                </c:pt>
                <c:pt idx="7">
                  <c:v>0.97196587149573399</c:v>
                </c:pt>
                <c:pt idx="8">
                  <c:v>0.94383775351014043</c:v>
                </c:pt>
                <c:pt idx="9">
                  <c:v>0.96603773584905661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57-466F-9326-489B32161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111111"/>
        <c:axId val="333333333"/>
      </c:lineChart>
      <c:catAx>
        <c:axId val="111111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Network ID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222222222"/>
        <c:crosses val="autoZero"/>
        <c:auto val="1"/>
        <c:lblAlgn val="ctr"/>
        <c:lblOffset val="100"/>
        <c:noMultiLvlLbl val="0"/>
      </c:catAx>
      <c:valAx>
        <c:axId val="22222222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Final Revenue ($)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111111111"/>
        <c:crosses val="autoZero"/>
        <c:crossBetween val="between"/>
      </c:valAx>
      <c:valAx>
        <c:axId val="333333333"/>
        <c:scaling>
          <c:orientation val="minMax"/>
          <c:max val="1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Quality of Solution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111111111"/>
        <c:crosses val="max"/>
        <c:crossBetween val="between"/>
      </c:valAx>
    </c:plotArea>
    <c:legend>
      <c:legendPos val="t"/>
      <c:overlay val="0"/>
    </c:legend>
    <c:plotVisOnly val="1"/>
    <c:dispBlanksAs val="gap"/>
    <c:showDLblsOverMax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400" b="1"/>
            </a:pPr>
            <a:r>
              <a:rPr lang="en-US"/>
              <a:t>Optimal vs Heuristic Computational Time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Conflict_Edges</c:v>
                </c:pt>
              </c:strCache>
            </c:strRef>
          </c:tx>
          <c:spPr>
            <a:solidFill>
              <a:srgbClr val="92D050">
                <a:alpha val="50196"/>
              </a:srgbClr>
            </a:solidFill>
            <a:ln>
              <a:noFill/>
            </a:ln>
          </c:spPr>
          <c:invertIfNegative val="1"/>
          <c:cat>
            <c:strRef>
              <c:f>Sheet1!$Q$2:$Q$101</c:f>
              <c:strCache>
                <c:ptCount val="96"/>
                <c:pt idx="5">
                  <c:v>0</c:v>
                </c:pt>
                <c:pt idx="15">
                  <c:v>1</c:v>
                </c:pt>
                <c:pt idx="25">
                  <c:v>2</c:v>
                </c:pt>
                <c:pt idx="35">
                  <c:v>3</c:v>
                </c:pt>
                <c:pt idx="45">
                  <c:v>4</c:v>
                </c:pt>
                <c:pt idx="55">
                  <c:v>5</c:v>
                </c:pt>
                <c:pt idx="65">
                  <c:v>6</c:v>
                </c:pt>
                <c:pt idx="75">
                  <c:v>7</c:v>
                </c:pt>
                <c:pt idx="85">
                  <c:v>8</c:v>
                </c:pt>
                <c:pt idx="95">
                  <c:v>9</c:v>
                </c:pt>
              </c:strCache>
            </c:strRef>
          </c:cat>
          <c:val>
            <c:numRef>
              <c:f>Sheet1!$E$2:$E$101</c:f>
              <c:numCache>
                <c:formatCode>General</c:formatCode>
                <c:ptCount val="100"/>
                <c:pt idx="0">
                  <c:v>2817</c:v>
                </c:pt>
                <c:pt idx="1">
                  <c:v>3206</c:v>
                </c:pt>
                <c:pt idx="2">
                  <c:v>2055</c:v>
                </c:pt>
                <c:pt idx="3">
                  <c:v>2321</c:v>
                </c:pt>
                <c:pt idx="4">
                  <c:v>1969</c:v>
                </c:pt>
                <c:pt idx="5">
                  <c:v>3337</c:v>
                </c:pt>
                <c:pt idx="6">
                  <c:v>2247</c:v>
                </c:pt>
                <c:pt idx="7">
                  <c:v>2385</c:v>
                </c:pt>
                <c:pt idx="8">
                  <c:v>1884</c:v>
                </c:pt>
                <c:pt idx="9">
                  <c:v>1687</c:v>
                </c:pt>
                <c:pt idx="10">
                  <c:v>17843</c:v>
                </c:pt>
                <c:pt idx="11">
                  <c:v>23033</c:v>
                </c:pt>
                <c:pt idx="12">
                  <c:v>21624</c:v>
                </c:pt>
                <c:pt idx="13">
                  <c:v>17830</c:v>
                </c:pt>
                <c:pt idx="14">
                  <c:v>15643</c:v>
                </c:pt>
                <c:pt idx="15">
                  <c:v>26091</c:v>
                </c:pt>
                <c:pt idx="16">
                  <c:v>21350</c:v>
                </c:pt>
                <c:pt idx="17">
                  <c:v>20874</c:v>
                </c:pt>
                <c:pt idx="18">
                  <c:v>24205</c:v>
                </c:pt>
                <c:pt idx="19">
                  <c:v>22097</c:v>
                </c:pt>
                <c:pt idx="20">
                  <c:v>3411</c:v>
                </c:pt>
                <c:pt idx="21">
                  <c:v>2260</c:v>
                </c:pt>
                <c:pt idx="22">
                  <c:v>2125</c:v>
                </c:pt>
                <c:pt idx="23">
                  <c:v>3293</c:v>
                </c:pt>
                <c:pt idx="24">
                  <c:v>2823</c:v>
                </c:pt>
                <c:pt idx="25">
                  <c:v>1763</c:v>
                </c:pt>
                <c:pt idx="26">
                  <c:v>3363</c:v>
                </c:pt>
                <c:pt idx="27">
                  <c:v>2260</c:v>
                </c:pt>
                <c:pt idx="28">
                  <c:v>3417</c:v>
                </c:pt>
                <c:pt idx="29">
                  <c:v>2118</c:v>
                </c:pt>
                <c:pt idx="30">
                  <c:v>2130</c:v>
                </c:pt>
                <c:pt idx="31">
                  <c:v>1690</c:v>
                </c:pt>
                <c:pt idx="32">
                  <c:v>1619</c:v>
                </c:pt>
                <c:pt idx="33">
                  <c:v>1382</c:v>
                </c:pt>
                <c:pt idx="34">
                  <c:v>1060</c:v>
                </c:pt>
                <c:pt idx="35">
                  <c:v>1902</c:v>
                </c:pt>
                <c:pt idx="36">
                  <c:v>1244</c:v>
                </c:pt>
                <c:pt idx="37">
                  <c:v>1764</c:v>
                </c:pt>
                <c:pt idx="38">
                  <c:v>845</c:v>
                </c:pt>
                <c:pt idx="39">
                  <c:v>1725</c:v>
                </c:pt>
                <c:pt idx="40">
                  <c:v>1398</c:v>
                </c:pt>
                <c:pt idx="41">
                  <c:v>1576</c:v>
                </c:pt>
                <c:pt idx="42">
                  <c:v>960</c:v>
                </c:pt>
                <c:pt idx="43">
                  <c:v>1349</c:v>
                </c:pt>
                <c:pt idx="44">
                  <c:v>1647</c:v>
                </c:pt>
                <c:pt idx="45">
                  <c:v>1560</c:v>
                </c:pt>
                <c:pt idx="46">
                  <c:v>1199</c:v>
                </c:pt>
                <c:pt idx="47">
                  <c:v>1319</c:v>
                </c:pt>
                <c:pt idx="48">
                  <c:v>2357</c:v>
                </c:pt>
                <c:pt idx="49">
                  <c:v>1735</c:v>
                </c:pt>
                <c:pt idx="50">
                  <c:v>346</c:v>
                </c:pt>
                <c:pt idx="51">
                  <c:v>151</c:v>
                </c:pt>
                <c:pt idx="52">
                  <c:v>266</c:v>
                </c:pt>
                <c:pt idx="53">
                  <c:v>374</c:v>
                </c:pt>
                <c:pt idx="54">
                  <c:v>264</c:v>
                </c:pt>
                <c:pt idx="55">
                  <c:v>370</c:v>
                </c:pt>
                <c:pt idx="56">
                  <c:v>230</c:v>
                </c:pt>
                <c:pt idx="57">
                  <c:v>246</c:v>
                </c:pt>
                <c:pt idx="58">
                  <c:v>477</c:v>
                </c:pt>
                <c:pt idx="59">
                  <c:v>332</c:v>
                </c:pt>
                <c:pt idx="60">
                  <c:v>12248</c:v>
                </c:pt>
                <c:pt idx="61">
                  <c:v>11384</c:v>
                </c:pt>
                <c:pt idx="62">
                  <c:v>10444</c:v>
                </c:pt>
                <c:pt idx="63">
                  <c:v>11106</c:v>
                </c:pt>
                <c:pt idx="64">
                  <c:v>10891</c:v>
                </c:pt>
                <c:pt idx="65">
                  <c:v>9301</c:v>
                </c:pt>
                <c:pt idx="66">
                  <c:v>9969</c:v>
                </c:pt>
                <c:pt idx="67">
                  <c:v>11248</c:v>
                </c:pt>
                <c:pt idx="68">
                  <c:v>11970</c:v>
                </c:pt>
                <c:pt idx="69">
                  <c:v>9806</c:v>
                </c:pt>
                <c:pt idx="70">
                  <c:v>22571</c:v>
                </c:pt>
                <c:pt idx="71">
                  <c:v>28356</c:v>
                </c:pt>
                <c:pt idx="72">
                  <c:v>20906</c:v>
                </c:pt>
                <c:pt idx="73">
                  <c:v>24393</c:v>
                </c:pt>
                <c:pt idx="74">
                  <c:v>24490</c:v>
                </c:pt>
                <c:pt idx="75">
                  <c:v>25215</c:v>
                </c:pt>
                <c:pt idx="76">
                  <c:v>20075</c:v>
                </c:pt>
                <c:pt idx="77">
                  <c:v>17486</c:v>
                </c:pt>
                <c:pt idx="78">
                  <c:v>19503</c:v>
                </c:pt>
                <c:pt idx="79">
                  <c:v>21577</c:v>
                </c:pt>
                <c:pt idx="80">
                  <c:v>4208</c:v>
                </c:pt>
                <c:pt idx="81">
                  <c:v>3971</c:v>
                </c:pt>
                <c:pt idx="82">
                  <c:v>5293</c:v>
                </c:pt>
                <c:pt idx="83">
                  <c:v>4828</c:v>
                </c:pt>
                <c:pt idx="84">
                  <c:v>3902</c:v>
                </c:pt>
                <c:pt idx="85">
                  <c:v>4271</c:v>
                </c:pt>
                <c:pt idx="86">
                  <c:v>4383</c:v>
                </c:pt>
                <c:pt idx="87">
                  <c:v>3826</c:v>
                </c:pt>
                <c:pt idx="88">
                  <c:v>5774</c:v>
                </c:pt>
                <c:pt idx="89">
                  <c:v>4342</c:v>
                </c:pt>
                <c:pt idx="90">
                  <c:v>186</c:v>
                </c:pt>
                <c:pt idx="91">
                  <c:v>187</c:v>
                </c:pt>
                <c:pt idx="92">
                  <c:v>425</c:v>
                </c:pt>
                <c:pt idx="93">
                  <c:v>60</c:v>
                </c:pt>
                <c:pt idx="94">
                  <c:v>238</c:v>
                </c:pt>
                <c:pt idx="95">
                  <c:v>259</c:v>
                </c:pt>
                <c:pt idx="96">
                  <c:v>174</c:v>
                </c:pt>
                <c:pt idx="97">
                  <c:v>226</c:v>
                </c:pt>
                <c:pt idx="98">
                  <c:v>226</c:v>
                </c:pt>
                <c:pt idx="99">
                  <c:v>176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E74-47EF-BBC8-48BB3C4F3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11111111"/>
        <c:axId val="333333333"/>
      </c:barChart>
      <c:lineChart>
        <c:grouping val="standard"/>
        <c:varyColors val="0"/>
        <c:ser>
          <c:idx val="1"/>
          <c:order val="1"/>
          <c:tx>
            <c:strRef>
              <c:f>Sheet1!$H$1</c:f>
              <c:strCache>
                <c:ptCount val="1"/>
                <c:pt idx="0">
                  <c:v>Opt_Time</c:v>
                </c:pt>
              </c:strCache>
            </c:strRef>
          </c:tx>
          <c:spPr>
            <a:ln w="15000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Sheet1!$Q$2:$Q$101</c:f>
              <c:strCache>
                <c:ptCount val="96"/>
                <c:pt idx="5">
                  <c:v>0</c:v>
                </c:pt>
                <c:pt idx="15">
                  <c:v>1</c:v>
                </c:pt>
                <c:pt idx="25">
                  <c:v>2</c:v>
                </c:pt>
                <c:pt idx="35">
                  <c:v>3</c:v>
                </c:pt>
                <c:pt idx="45">
                  <c:v>4</c:v>
                </c:pt>
                <c:pt idx="55">
                  <c:v>5</c:v>
                </c:pt>
                <c:pt idx="65">
                  <c:v>6</c:v>
                </c:pt>
                <c:pt idx="75">
                  <c:v>7</c:v>
                </c:pt>
                <c:pt idx="85">
                  <c:v>8</c:v>
                </c:pt>
                <c:pt idx="95">
                  <c:v>9</c:v>
                </c:pt>
              </c:strCache>
            </c:strRef>
          </c:cat>
          <c:val>
            <c:numRef>
              <c:f>Sheet1!$H$2:$H$101</c:f>
              <c:numCache>
                <c:formatCode>General</c:formatCode>
                <c:ptCount val="100"/>
                <c:pt idx="0">
                  <c:v>0.107973575592041</c:v>
                </c:pt>
                <c:pt idx="1">
                  <c:v>0.17348933219909701</c:v>
                </c:pt>
                <c:pt idx="2">
                  <c:v>0.105349063873291</c:v>
                </c:pt>
                <c:pt idx="3">
                  <c:v>9.6656560897827204E-2</c:v>
                </c:pt>
                <c:pt idx="4">
                  <c:v>0.14130711555480999</c:v>
                </c:pt>
                <c:pt idx="5">
                  <c:v>0.17486810684204099</c:v>
                </c:pt>
                <c:pt idx="6">
                  <c:v>9.7455024719238295E-2</c:v>
                </c:pt>
                <c:pt idx="7">
                  <c:v>0.104006052017212</c:v>
                </c:pt>
                <c:pt idx="8">
                  <c:v>9.2888593673706096E-2</c:v>
                </c:pt>
                <c:pt idx="9">
                  <c:v>7.3641538619995103E-2</c:v>
                </c:pt>
                <c:pt idx="10">
                  <c:v>0.66260004043579102</c:v>
                </c:pt>
                <c:pt idx="11">
                  <c:v>2.01060223579407</c:v>
                </c:pt>
                <c:pt idx="12">
                  <c:v>1.45177555084229</c:v>
                </c:pt>
                <c:pt idx="13">
                  <c:v>0.80691647529602095</c:v>
                </c:pt>
                <c:pt idx="14">
                  <c:v>0.64310717582702603</c:v>
                </c:pt>
                <c:pt idx="15">
                  <c:v>2.31538009643555</c:v>
                </c:pt>
                <c:pt idx="16">
                  <c:v>1.5228903293609599</c:v>
                </c:pt>
                <c:pt idx="17">
                  <c:v>1.50202536582947</c:v>
                </c:pt>
                <c:pt idx="18">
                  <c:v>4.87156057357788</c:v>
                </c:pt>
                <c:pt idx="19">
                  <c:v>1.63896465301514</c:v>
                </c:pt>
                <c:pt idx="20">
                  <c:v>8.6464643478393596E-2</c:v>
                </c:pt>
                <c:pt idx="21">
                  <c:v>9.8619461059570299E-2</c:v>
                </c:pt>
                <c:pt idx="22">
                  <c:v>0.10792660713195799</c:v>
                </c:pt>
                <c:pt idx="23">
                  <c:v>0.123188257217407</c:v>
                </c:pt>
                <c:pt idx="24">
                  <c:v>0.10853838920593301</c:v>
                </c:pt>
                <c:pt idx="25">
                  <c:v>8.5955381393432603E-2</c:v>
                </c:pt>
                <c:pt idx="26">
                  <c:v>0.13249087333679199</c:v>
                </c:pt>
                <c:pt idx="27">
                  <c:v>8.7392568588256794E-2</c:v>
                </c:pt>
                <c:pt idx="28">
                  <c:v>0.132003784179688</c:v>
                </c:pt>
                <c:pt idx="29">
                  <c:v>0.142737627029419</c:v>
                </c:pt>
                <c:pt idx="30">
                  <c:v>9.64617729187012E-2</c:v>
                </c:pt>
                <c:pt idx="31">
                  <c:v>8.24999809265137E-2</c:v>
                </c:pt>
                <c:pt idx="32">
                  <c:v>7.8423738479614299E-2</c:v>
                </c:pt>
                <c:pt idx="33">
                  <c:v>7.4910640716552707E-2</c:v>
                </c:pt>
                <c:pt idx="34">
                  <c:v>6.7940473556518596E-2</c:v>
                </c:pt>
                <c:pt idx="35">
                  <c:v>9.2318058013916002E-2</c:v>
                </c:pt>
                <c:pt idx="36">
                  <c:v>6.8158388137817397E-2</c:v>
                </c:pt>
                <c:pt idx="37">
                  <c:v>6.0070037841796903E-2</c:v>
                </c:pt>
                <c:pt idx="38">
                  <c:v>7.1063041687011705E-2</c:v>
                </c:pt>
                <c:pt idx="39">
                  <c:v>7.9946041107177707E-2</c:v>
                </c:pt>
                <c:pt idx="40">
                  <c:v>6.7635297775268596E-2</c:v>
                </c:pt>
                <c:pt idx="41">
                  <c:v>8.2010507583618206E-2</c:v>
                </c:pt>
                <c:pt idx="42">
                  <c:v>6.0491561889648403E-2</c:v>
                </c:pt>
                <c:pt idx="43">
                  <c:v>7.7063560485839802E-2</c:v>
                </c:pt>
                <c:pt idx="44">
                  <c:v>8.5453271865844699E-2</c:v>
                </c:pt>
                <c:pt idx="45">
                  <c:v>8.0929756164550795E-2</c:v>
                </c:pt>
                <c:pt idx="46">
                  <c:v>6.01000785827637E-2</c:v>
                </c:pt>
                <c:pt idx="47">
                  <c:v>8.4095001220703097E-2</c:v>
                </c:pt>
                <c:pt idx="48">
                  <c:v>9.15091037750244E-2</c:v>
                </c:pt>
                <c:pt idx="49">
                  <c:v>8.5923910140991197E-2</c:v>
                </c:pt>
                <c:pt idx="50">
                  <c:v>4.5180320739746101E-2</c:v>
                </c:pt>
                <c:pt idx="51">
                  <c:v>3.0758619308471701E-2</c:v>
                </c:pt>
                <c:pt idx="52">
                  <c:v>5.09285926818848E-2</c:v>
                </c:pt>
                <c:pt idx="53">
                  <c:v>5.2094936370849602E-2</c:v>
                </c:pt>
                <c:pt idx="54">
                  <c:v>4.9883604049682603E-2</c:v>
                </c:pt>
                <c:pt idx="55">
                  <c:v>2.22446918487549E-2</c:v>
                </c:pt>
                <c:pt idx="56">
                  <c:v>4.4555425643920898E-2</c:v>
                </c:pt>
                <c:pt idx="57">
                  <c:v>5.1760435104370103E-2</c:v>
                </c:pt>
                <c:pt idx="58">
                  <c:v>6.3352108001708998E-2</c:v>
                </c:pt>
                <c:pt idx="59">
                  <c:v>4.1197538375854499E-2</c:v>
                </c:pt>
                <c:pt idx="60">
                  <c:v>0.41027784347534202</c:v>
                </c:pt>
                <c:pt idx="61">
                  <c:v>0.178012609481812</c:v>
                </c:pt>
                <c:pt idx="62">
                  <c:v>0.21467852592468301</c:v>
                </c:pt>
                <c:pt idx="63">
                  <c:v>0.180563449859619</c:v>
                </c:pt>
                <c:pt idx="64">
                  <c:v>0.26596283912658703</c:v>
                </c:pt>
                <c:pt idx="65">
                  <c:v>0.22832369804382299</c:v>
                </c:pt>
                <c:pt idx="66">
                  <c:v>0.187280893325806</c:v>
                </c:pt>
                <c:pt idx="67">
                  <c:v>0.26804304122924799</c:v>
                </c:pt>
                <c:pt idx="68">
                  <c:v>0.24707555770874001</c:v>
                </c:pt>
                <c:pt idx="69">
                  <c:v>0.15878748893737801</c:v>
                </c:pt>
                <c:pt idx="70">
                  <c:v>1.6382534503936801</c:v>
                </c:pt>
                <c:pt idx="71">
                  <c:v>3.2756204605102499</c:v>
                </c:pt>
                <c:pt idx="72">
                  <c:v>1.5751090049743699</c:v>
                </c:pt>
                <c:pt idx="73">
                  <c:v>2.1308240890502899</c:v>
                </c:pt>
                <c:pt idx="74">
                  <c:v>2.6619751453399698</c:v>
                </c:pt>
                <c:pt idx="75">
                  <c:v>2.3390312194824201</c:v>
                </c:pt>
                <c:pt idx="76">
                  <c:v>0.60593962669372603</c:v>
                </c:pt>
                <c:pt idx="77">
                  <c:v>1.0008864402771001</c:v>
                </c:pt>
                <c:pt idx="78">
                  <c:v>0.649120092391968</c:v>
                </c:pt>
                <c:pt idx="79">
                  <c:v>0.77361249923706099</c:v>
                </c:pt>
                <c:pt idx="80">
                  <c:v>0.108830451965332</c:v>
                </c:pt>
                <c:pt idx="81">
                  <c:v>0.141983032226563</c:v>
                </c:pt>
                <c:pt idx="82">
                  <c:v>0.108773946762085</c:v>
                </c:pt>
                <c:pt idx="83">
                  <c:v>0.140195608139038</c:v>
                </c:pt>
                <c:pt idx="84">
                  <c:v>0.10175752639770499</c:v>
                </c:pt>
                <c:pt idx="85">
                  <c:v>0.13425946235656699</c:v>
                </c:pt>
                <c:pt idx="86">
                  <c:v>0.14325070381164601</c:v>
                </c:pt>
                <c:pt idx="87">
                  <c:v>0.123250722885132</c:v>
                </c:pt>
                <c:pt idx="88">
                  <c:v>0.161601543426514</c:v>
                </c:pt>
                <c:pt idx="89">
                  <c:v>0.104135274887085</c:v>
                </c:pt>
                <c:pt idx="90">
                  <c:v>3.7161588668823201E-2</c:v>
                </c:pt>
                <c:pt idx="91">
                  <c:v>3.6156177520752002E-2</c:v>
                </c:pt>
                <c:pt idx="92">
                  <c:v>4.8164129257202197E-2</c:v>
                </c:pt>
                <c:pt idx="93">
                  <c:v>3.5932779312133803E-2</c:v>
                </c:pt>
                <c:pt idx="94">
                  <c:v>5.2858352661132799E-2</c:v>
                </c:pt>
                <c:pt idx="95">
                  <c:v>4.1548013687133803E-2</c:v>
                </c:pt>
                <c:pt idx="96">
                  <c:v>1.8955469131469699E-2</c:v>
                </c:pt>
                <c:pt idx="97">
                  <c:v>4.4412374496460003E-2</c:v>
                </c:pt>
                <c:pt idx="98">
                  <c:v>4.4204473495483398E-2</c:v>
                </c:pt>
                <c:pt idx="99">
                  <c:v>4.4806480407714802E-2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74-47EF-BBC8-48BB3C4F3B4D}"/>
            </c:ext>
          </c:extLst>
        </c:ser>
        <c:ser>
          <c:idx val="2"/>
          <c:order val="2"/>
          <c:tx>
            <c:strRef>
              <c:f>Sheet1!$J$1</c:f>
              <c:strCache>
                <c:ptCount val="1"/>
                <c:pt idx="0">
                  <c:v>LS_Time</c:v>
                </c:pt>
              </c:strCache>
            </c:strRef>
          </c:tx>
          <c:spPr>
            <a:ln w="15000">
              <a:solidFill>
                <a:srgbClr val="8064A2"/>
              </a:solidFill>
            </a:ln>
          </c:spPr>
          <c:marker>
            <c:symbol val="none"/>
          </c:marker>
          <c:cat>
            <c:strRef>
              <c:f>Sheet1!$Q$2:$Q$101</c:f>
              <c:strCache>
                <c:ptCount val="96"/>
                <c:pt idx="5">
                  <c:v>0</c:v>
                </c:pt>
                <c:pt idx="15">
                  <c:v>1</c:v>
                </c:pt>
                <c:pt idx="25">
                  <c:v>2</c:v>
                </c:pt>
                <c:pt idx="35">
                  <c:v>3</c:v>
                </c:pt>
                <c:pt idx="45">
                  <c:v>4</c:v>
                </c:pt>
                <c:pt idx="55">
                  <c:v>5</c:v>
                </c:pt>
                <c:pt idx="65">
                  <c:v>6</c:v>
                </c:pt>
                <c:pt idx="75">
                  <c:v>7</c:v>
                </c:pt>
                <c:pt idx="85">
                  <c:v>8</c:v>
                </c:pt>
                <c:pt idx="95">
                  <c:v>9</c:v>
                </c:pt>
              </c:strCache>
            </c:strRef>
          </c:cat>
          <c:val>
            <c:numRef>
              <c:f>Sheet1!$J$2:$J$101</c:f>
              <c:numCache>
                <c:formatCode>General</c:formatCode>
                <c:ptCount val="100"/>
                <c:pt idx="0">
                  <c:v>0.20019507408142101</c:v>
                </c:pt>
                <c:pt idx="1">
                  <c:v>0.14896297454834001</c:v>
                </c:pt>
                <c:pt idx="2">
                  <c:v>0.26838755607605003</c:v>
                </c:pt>
                <c:pt idx="3">
                  <c:v>0.32122898101806602</c:v>
                </c:pt>
                <c:pt idx="4">
                  <c:v>0.33692216873169001</c:v>
                </c:pt>
                <c:pt idx="5">
                  <c:v>0.33096337318420399</c:v>
                </c:pt>
                <c:pt idx="6">
                  <c:v>0.23023390769958499</c:v>
                </c:pt>
                <c:pt idx="7">
                  <c:v>0.27159476280212402</c:v>
                </c:pt>
                <c:pt idx="8">
                  <c:v>0.206187725067139</c:v>
                </c:pt>
                <c:pt idx="9">
                  <c:v>0.266149282455444</c:v>
                </c:pt>
                <c:pt idx="10">
                  <c:v>0.48967480659484902</c:v>
                </c:pt>
                <c:pt idx="11">
                  <c:v>0.28018665313720698</c:v>
                </c:pt>
                <c:pt idx="12">
                  <c:v>0.40512466430664101</c:v>
                </c:pt>
                <c:pt idx="13">
                  <c:v>0.68796539306640603</c:v>
                </c:pt>
                <c:pt idx="14">
                  <c:v>0.50077342987060602</c:v>
                </c:pt>
                <c:pt idx="15">
                  <c:v>0.63088536262512196</c:v>
                </c:pt>
                <c:pt idx="16">
                  <c:v>0.98019099235534701</c:v>
                </c:pt>
                <c:pt idx="17">
                  <c:v>0.77318000793456998</c:v>
                </c:pt>
                <c:pt idx="18">
                  <c:v>1.48429608345032</c:v>
                </c:pt>
                <c:pt idx="19">
                  <c:v>1.7495877742767301</c:v>
                </c:pt>
                <c:pt idx="20">
                  <c:v>0.454879760742188</c:v>
                </c:pt>
                <c:pt idx="21">
                  <c:v>0.293833017349243</c:v>
                </c:pt>
                <c:pt idx="22">
                  <c:v>0.17113542556762701</c:v>
                </c:pt>
                <c:pt idx="23">
                  <c:v>0.101378679275513</c:v>
                </c:pt>
                <c:pt idx="24">
                  <c:v>0.19558405876159701</c:v>
                </c:pt>
                <c:pt idx="25">
                  <c:v>0.369455575942993</c:v>
                </c:pt>
                <c:pt idx="26">
                  <c:v>0.23950791358947801</c:v>
                </c:pt>
                <c:pt idx="27">
                  <c:v>0.112224340438843</c:v>
                </c:pt>
                <c:pt idx="28">
                  <c:v>0.114304542541504</c:v>
                </c:pt>
                <c:pt idx="29">
                  <c:v>8.3597183227539104E-2</c:v>
                </c:pt>
                <c:pt idx="30">
                  <c:v>8.4317445755004897E-2</c:v>
                </c:pt>
                <c:pt idx="31">
                  <c:v>6.9282293319702204E-2</c:v>
                </c:pt>
                <c:pt idx="32">
                  <c:v>0.160611152648926</c:v>
                </c:pt>
                <c:pt idx="33">
                  <c:v>0.20637011528015101</c:v>
                </c:pt>
                <c:pt idx="34">
                  <c:v>0.126156806945801</c:v>
                </c:pt>
                <c:pt idx="35">
                  <c:v>0.153244733810425</c:v>
                </c:pt>
                <c:pt idx="36">
                  <c:v>0.17773056030273399</c:v>
                </c:pt>
                <c:pt idx="37">
                  <c:v>9.2191934585571303E-2</c:v>
                </c:pt>
                <c:pt idx="38">
                  <c:v>0.12502813339233401</c:v>
                </c:pt>
                <c:pt idx="39">
                  <c:v>0.1148521900177</c:v>
                </c:pt>
                <c:pt idx="40">
                  <c:v>0.279858589172363</c:v>
                </c:pt>
                <c:pt idx="41">
                  <c:v>0.167520761489868</c:v>
                </c:pt>
                <c:pt idx="42">
                  <c:v>0.24508261680603</c:v>
                </c:pt>
                <c:pt idx="43">
                  <c:v>0.19779467582702601</c:v>
                </c:pt>
                <c:pt idx="44">
                  <c:v>0.13969373703002899</c:v>
                </c:pt>
                <c:pt idx="45">
                  <c:v>0.17456293106079099</c:v>
                </c:pt>
                <c:pt idx="46">
                  <c:v>0.152440786361694</c:v>
                </c:pt>
                <c:pt idx="47">
                  <c:v>0.18896579742431599</c:v>
                </c:pt>
                <c:pt idx="48">
                  <c:v>0.136234521865845</c:v>
                </c:pt>
                <c:pt idx="49">
                  <c:v>0.11237096786499</c:v>
                </c:pt>
                <c:pt idx="50">
                  <c:v>5.8921575546264697E-2</c:v>
                </c:pt>
                <c:pt idx="51">
                  <c:v>7.830810546875E-2</c:v>
                </c:pt>
                <c:pt idx="52">
                  <c:v>5.8910846710205099E-2</c:v>
                </c:pt>
                <c:pt idx="53">
                  <c:v>8.4554910659789997E-2</c:v>
                </c:pt>
                <c:pt idx="54">
                  <c:v>6.8191289901733398E-2</c:v>
                </c:pt>
                <c:pt idx="55">
                  <c:v>8.42633247375488E-2</c:v>
                </c:pt>
                <c:pt idx="56">
                  <c:v>6.2781810760498102E-2</c:v>
                </c:pt>
                <c:pt idx="57">
                  <c:v>5.8381557464599602E-2</c:v>
                </c:pt>
                <c:pt idx="58">
                  <c:v>6.5211534500122098E-2</c:v>
                </c:pt>
                <c:pt idx="59">
                  <c:v>6.9621086120605497E-2</c:v>
                </c:pt>
                <c:pt idx="60">
                  <c:v>0.62120294570922896</c:v>
                </c:pt>
                <c:pt idx="61">
                  <c:v>0.70371294021606501</c:v>
                </c:pt>
                <c:pt idx="62">
                  <c:v>0.82336854934692405</c:v>
                </c:pt>
                <c:pt idx="63">
                  <c:v>1.03348708152771</c:v>
                </c:pt>
                <c:pt idx="64">
                  <c:v>0.97597956657409701</c:v>
                </c:pt>
                <c:pt idx="65">
                  <c:v>0.66729474067687999</c:v>
                </c:pt>
                <c:pt idx="66">
                  <c:v>0.69941186904907204</c:v>
                </c:pt>
                <c:pt idx="67">
                  <c:v>0.63802981376648005</c:v>
                </c:pt>
                <c:pt idx="68">
                  <c:v>1.4056799411773699</c:v>
                </c:pt>
                <c:pt idx="69">
                  <c:v>1.07371354103088</c:v>
                </c:pt>
                <c:pt idx="70">
                  <c:v>0.75767493247985795</c:v>
                </c:pt>
                <c:pt idx="71">
                  <c:v>0.74700021743774403</c:v>
                </c:pt>
                <c:pt idx="72">
                  <c:v>0.62323665618896495</c:v>
                </c:pt>
                <c:pt idx="73">
                  <c:v>0.51466464996337902</c:v>
                </c:pt>
                <c:pt idx="74">
                  <c:v>0.35278344154357899</c:v>
                </c:pt>
                <c:pt idx="75">
                  <c:v>0.76106739044189498</c:v>
                </c:pt>
                <c:pt idx="76">
                  <c:v>1.02981209754944</c:v>
                </c:pt>
                <c:pt idx="77">
                  <c:v>0.63777112960815396</c:v>
                </c:pt>
                <c:pt idx="78">
                  <c:v>0.52310967445373502</c:v>
                </c:pt>
                <c:pt idx="79">
                  <c:v>0.73927092552185103</c:v>
                </c:pt>
                <c:pt idx="80">
                  <c:v>0.73413610458374001</c:v>
                </c:pt>
                <c:pt idx="81">
                  <c:v>0.43981981277465798</c:v>
                </c:pt>
                <c:pt idx="82">
                  <c:v>0.52856397628784202</c:v>
                </c:pt>
                <c:pt idx="83">
                  <c:v>0.50597906112670898</c:v>
                </c:pt>
                <c:pt idx="84">
                  <c:v>0.58305072784423795</c:v>
                </c:pt>
                <c:pt idx="85">
                  <c:v>0.74962019920349099</c:v>
                </c:pt>
                <c:pt idx="86">
                  <c:v>0.52105474472045898</c:v>
                </c:pt>
                <c:pt idx="87">
                  <c:v>0.48293137550353998</c:v>
                </c:pt>
                <c:pt idx="88">
                  <c:v>0.59972977638244596</c:v>
                </c:pt>
                <c:pt idx="89">
                  <c:v>0.44353103637695301</c:v>
                </c:pt>
                <c:pt idx="90">
                  <c:v>5.1610708236694301E-2</c:v>
                </c:pt>
                <c:pt idx="91">
                  <c:v>8.0253124237060602E-2</c:v>
                </c:pt>
                <c:pt idx="92">
                  <c:v>6.5644741058349595E-2</c:v>
                </c:pt>
                <c:pt idx="93">
                  <c:v>6.5582752227783203E-2</c:v>
                </c:pt>
                <c:pt idx="94">
                  <c:v>7.6702594757080106E-2</c:v>
                </c:pt>
                <c:pt idx="95">
                  <c:v>0.16172766685485801</c:v>
                </c:pt>
                <c:pt idx="96">
                  <c:v>6.4264059066772503E-2</c:v>
                </c:pt>
                <c:pt idx="97">
                  <c:v>7.3482513427734403E-2</c:v>
                </c:pt>
                <c:pt idx="98">
                  <c:v>8.2060813903808594E-2</c:v>
                </c:pt>
                <c:pt idx="99">
                  <c:v>8.3765506744384793E-2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74-47EF-BBC8-48BB3C4F3B4D}"/>
            </c:ext>
          </c:extLst>
        </c:ser>
        <c:ser>
          <c:idx val="3"/>
          <c:order val="3"/>
          <c:tx>
            <c:strRef>
              <c:f>Sheet1!$O$1</c:f>
              <c:strCache>
                <c:ptCount val="1"/>
                <c:pt idx="0">
                  <c:v>Administration_Time</c:v>
                </c:pt>
              </c:strCache>
            </c:strRef>
          </c:tx>
          <c:spPr>
            <a:ln w="15000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Sheet1!$Q$2:$Q$101</c:f>
              <c:strCache>
                <c:ptCount val="96"/>
                <c:pt idx="5">
                  <c:v>0</c:v>
                </c:pt>
                <c:pt idx="15">
                  <c:v>1</c:v>
                </c:pt>
                <c:pt idx="25">
                  <c:v>2</c:v>
                </c:pt>
                <c:pt idx="35">
                  <c:v>3</c:v>
                </c:pt>
                <c:pt idx="45">
                  <c:v>4</c:v>
                </c:pt>
                <c:pt idx="55">
                  <c:v>5</c:v>
                </c:pt>
                <c:pt idx="65">
                  <c:v>6</c:v>
                </c:pt>
                <c:pt idx="75">
                  <c:v>7</c:v>
                </c:pt>
                <c:pt idx="85">
                  <c:v>8</c:v>
                </c:pt>
                <c:pt idx="95">
                  <c:v>9</c:v>
                </c:pt>
              </c:strCache>
            </c:strRef>
          </c:cat>
          <c:val>
            <c:numRef>
              <c:f>Sheet1!$O$2:$O$101</c:f>
              <c:numCache>
                <c:formatCode>General</c:formatCode>
                <c:ptCount val="100"/>
                <c:pt idx="0">
                  <c:v>5.7581901550292997E-2</c:v>
                </c:pt>
                <c:pt idx="1">
                  <c:v>4.4915437698364008E-2</c:v>
                </c:pt>
                <c:pt idx="2">
                  <c:v>7.5324296951294029E-2</c:v>
                </c:pt>
                <c:pt idx="3">
                  <c:v>8.3725929260253018E-2</c:v>
                </c:pt>
                <c:pt idx="4">
                  <c:v>9.6176862716674999E-2</c:v>
                </c:pt>
                <c:pt idx="5">
                  <c:v>9.4685077667235995E-2</c:v>
                </c:pt>
                <c:pt idx="6">
                  <c:v>6.0630798339844E-2</c:v>
                </c:pt>
                <c:pt idx="7">
                  <c:v>7.6329469680786022E-2</c:v>
                </c:pt>
                <c:pt idx="8">
                  <c:v>5.0889015197754017E-2</c:v>
                </c:pt>
                <c:pt idx="9">
                  <c:v>7.7383756637572992E-2</c:v>
                </c:pt>
                <c:pt idx="10">
                  <c:v>0.14527773857116705</c:v>
                </c:pt>
                <c:pt idx="11">
                  <c:v>8.1545352935790988E-2</c:v>
                </c:pt>
                <c:pt idx="12">
                  <c:v>0.11779117584228499</c:v>
                </c:pt>
                <c:pt idx="13">
                  <c:v>0.20089840888977001</c:v>
                </c:pt>
                <c:pt idx="14">
                  <c:v>0.15143084526062101</c:v>
                </c:pt>
                <c:pt idx="15">
                  <c:v>0.18684196472167997</c:v>
                </c:pt>
                <c:pt idx="16">
                  <c:v>0.26770210266113303</c:v>
                </c:pt>
                <c:pt idx="17">
                  <c:v>0.22095489501953103</c:v>
                </c:pt>
                <c:pt idx="18">
                  <c:v>0.45171260833740012</c:v>
                </c:pt>
                <c:pt idx="19">
                  <c:v>0.52293443679809015</c:v>
                </c:pt>
                <c:pt idx="20">
                  <c:v>0.12500858306884799</c:v>
                </c:pt>
                <c:pt idx="21">
                  <c:v>8.5577726364135992E-2</c:v>
                </c:pt>
                <c:pt idx="22">
                  <c:v>5.2054405212402011E-2</c:v>
                </c:pt>
                <c:pt idx="23">
                  <c:v>2.7807950973511006E-2</c:v>
                </c:pt>
                <c:pt idx="24">
                  <c:v>6.0725450515747015E-2</c:v>
                </c:pt>
                <c:pt idx="25">
                  <c:v>9.8592519760132002E-2</c:v>
                </c:pt>
                <c:pt idx="26">
                  <c:v>5.9971094131470004E-2</c:v>
                </c:pt>
                <c:pt idx="27">
                  <c:v>3.3938169479370298E-2</c:v>
                </c:pt>
                <c:pt idx="28">
                  <c:v>2.917885780334481E-2</c:v>
                </c:pt>
                <c:pt idx="29">
                  <c:v>2.5126457214355503E-2</c:v>
                </c:pt>
                <c:pt idx="30">
                  <c:v>2.2473812103271498E-2</c:v>
                </c:pt>
                <c:pt idx="31">
                  <c:v>1.8191099166870207E-2</c:v>
                </c:pt>
                <c:pt idx="32">
                  <c:v>4.3011903762818007E-2</c:v>
                </c:pt>
                <c:pt idx="33">
                  <c:v>6.1797142028808011E-2</c:v>
                </c:pt>
                <c:pt idx="34">
                  <c:v>3.9986610412597906E-2</c:v>
                </c:pt>
                <c:pt idx="35">
                  <c:v>4.1717052459717005E-2</c:v>
                </c:pt>
                <c:pt idx="36">
                  <c:v>4.5844078063963983E-2</c:v>
                </c:pt>
                <c:pt idx="37">
                  <c:v>2.3693561553955106E-2</c:v>
                </c:pt>
                <c:pt idx="38">
                  <c:v>3.7903547286987319E-2</c:v>
                </c:pt>
                <c:pt idx="39">
                  <c:v>3.2747268676757604E-2</c:v>
                </c:pt>
                <c:pt idx="40">
                  <c:v>7.4510812759398998E-2</c:v>
                </c:pt>
                <c:pt idx="41">
                  <c:v>5.0380706787109E-2</c:v>
                </c:pt>
                <c:pt idx="42">
                  <c:v>6.7782878875732006E-2</c:v>
                </c:pt>
                <c:pt idx="43">
                  <c:v>4.5708894729614008E-2</c:v>
                </c:pt>
                <c:pt idx="44">
                  <c:v>3.8856506347655986E-2</c:v>
                </c:pt>
                <c:pt idx="45">
                  <c:v>4.4849872589110995E-2</c:v>
                </c:pt>
                <c:pt idx="46">
                  <c:v>4.5842170715332003E-2</c:v>
                </c:pt>
                <c:pt idx="47">
                  <c:v>4.8930644989012978E-2</c:v>
                </c:pt>
                <c:pt idx="48">
                  <c:v>3.3433437347411998E-2</c:v>
                </c:pt>
                <c:pt idx="49">
                  <c:v>2.9695749282836692E-2</c:v>
                </c:pt>
                <c:pt idx="50">
                  <c:v>1.6058683395385798E-2</c:v>
                </c:pt>
                <c:pt idx="51">
                  <c:v>2.3605585098266602E-2</c:v>
                </c:pt>
                <c:pt idx="52">
                  <c:v>1.6751050949096701E-2</c:v>
                </c:pt>
                <c:pt idx="53">
                  <c:v>2.33359336853027E-2</c:v>
                </c:pt>
                <c:pt idx="54">
                  <c:v>1.8389701843261698E-2</c:v>
                </c:pt>
                <c:pt idx="55">
                  <c:v>2.9015779495239202E-2</c:v>
                </c:pt>
                <c:pt idx="56">
                  <c:v>1.8265008926391602E-2</c:v>
                </c:pt>
                <c:pt idx="57">
                  <c:v>1.8187522888183601E-2</c:v>
                </c:pt>
                <c:pt idx="58">
                  <c:v>2.4592399597167997E-2</c:v>
                </c:pt>
                <c:pt idx="59">
                  <c:v>1.9381046295165995E-2</c:v>
                </c:pt>
                <c:pt idx="60">
                  <c:v>0.18382978439331094</c:v>
                </c:pt>
                <c:pt idx="61">
                  <c:v>0.18887138366699296</c:v>
                </c:pt>
                <c:pt idx="62">
                  <c:v>0.2339730262756351</c:v>
                </c:pt>
                <c:pt idx="63">
                  <c:v>0.30342268943786599</c:v>
                </c:pt>
                <c:pt idx="64">
                  <c:v>0.25680351257324197</c:v>
                </c:pt>
                <c:pt idx="65">
                  <c:v>0.20651388168335</c:v>
                </c:pt>
                <c:pt idx="66">
                  <c:v>0.18440318107604903</c:v>
                </c:pt>
                <c:pt idx="67">
                  <c:v>0.18870186805725103</c:v>
                </c:pt>
                <c:pt idx="68">
                  <c:v>0.40525817871093994</c:v>
                </c:pt>
                <c:pt idx="69">
                  <c:v>0.316034555435177</c:v>
                </c:pt>
                <c:pt idx="70">
                  <c:v>0.2144355773925779</c:v>
                </c:pt>
                <c:pt idx="71">
                  <c:v>0.20663571357727006</c:v>
                </c:pt>
                <c:pt idx="72">
                  <c:v>0.17032814025878895</c:v>
                </c:pt>
                <c:pt idx="73">
                  <c:v>0.140509843826294</c:v>
                </c:pt>
                <c:pt idx="74">
                  <c:v>0.10270118713378901</c:v>
                </c:pt>
                <c:pt idx="75">
                  <c:v>0.25462555885314997</c:v>
                </c:pt>
                <c:pt idx="76">
                  <c:v>0.31418514251709106</c:v>
                </c:pt>
                <c:pt idx="77">
                  <c:v>0.20672655105590798</c:v>
                </c:pt>
                <c:pt idx="78">
                  <c:v>0.14317774772644004</c:v>
                </c:pt>
                <c:pt idx="79">
                  <c:v>0.24579048156738303</c:v>
                </c:pt>
                <c:pt idx="80">
                  <c:v>0.21497178077697698</c:v>
                </c:pt>
                <c:pt idx="81">
                  <c:v>0.11283779144287098</c:v>
                </c:pt>
                <c:pt idx="82">
                  <c:v>0.13811111450195301</c:v>
                </c:pt>
                <c:pt idx="83">
                  <c:v>0.13888502120971696</c:v>
                </c:pt>
                <c:pt idx="84">
                  <c:v>0.15380358695983892</c:v>
                </c:pt>
                <c:pt idx="85">
                  <c:v>0.199085712432861</c:v>
                </c:pt>
                <c:pt idx="86">
                  <c:v>0.13438892364501898</c:v>
                </c:pt>
                <c:pt idx="87">
                  <c:v>0.12902045249938998</c:v>
                </c:pt>
                <c:pt idx="88">
                  <c:v>0.15248250961303694</c:v>
                </c:pt>
                <c:pt idx="89">
                  <c:v>0.11541581153869601</c:v>
                </c:pt>
                <c:pt idx="90">
                  <c:v>1.3115882873535101E-2</c:v>
                </c:pt>
                <c:pt idx="91">
                  <c:v>2.5228023529052804E-2</c:v>
                </c:pt>
                <c:pt idx="92">
                  <c:v>1.6023635864257799E-2</c:v>
                </c:pt>
                <c:pt idx="93">
                  <c:v>2.0683288574218701E-2</c:v>
                </c:pt>
                <c:pt idx="94">
                  <c:v>2.4227619171142606E-2</c:v>
                </c:pt>
                <c:pt idx="95">
                  <c:v>4.6792507171630013E-2</c:v>
                </c:pt>
                <c:pt idx="96">
                  <c:v>1.9702196121215904E-2</c:v>
                </c:pt>
                <c:pt idx="97">
                  <c:v>2.3039102554321303E-2</c:v>
                </c:pt>
                <c:pt idx="98">
                  <c:v>2.3737192153930692E-2</c:v>
                </c:pt>
                <c:pt idx="99">
                  <c:v>2.1271944046020494E-2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74-47EF-BBC8-48BB3C4F3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111111"/>
        <c:axId val="222222222"/>
      </c:lineChart>
      <c:catAx>
        <c:axId val="111111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Network ID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222222222"/>
        <c:crosses val="autoZero"/>
        <c:auto val="1"/>
        <c:lblAlgn val="ctr"/>
        <c:lblOffset val="100"/>
        <c:noMultiLvlLbl val="0"/>
      </c:catAx>
      <c:valAx>
        <c:axId val="22222222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Computational Time (s)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11111111"/>
        <c:crosses val="autoZero"/>
        <c:crossBetween val="between"/>
      </c:valAx>
      <c:valAx>
        <c:axId val="333333333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Edges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11111111"/>
        <c:crosses val="max"/>
        <c:crossBetween val="between"/>
      </c:valAx>
    </c:plotArea>
    <c:legend>
      <c:legendPos val="t"/>
      <c:overlay val="0"/>
    </c:legend>
    <c:plotVisOnly val="1"/>
    <c:dispBlanksAs val="gap"/>
    <c:showDLblsOverMax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14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tabSelected="1" zoomScale="14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46583" cy="628120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46583" cy="628120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1"/>
  <sheetViews>
    <sheetView zoomScaleNormal="100" workbookViewId="0">
      <selection activeCell="P1" sqref="P1"/>
    </sheetView>
  </sheetViews>
  <sheetFormatPr defaultColWidth="8.6640625" defaultRowHeight="14.4" x14ac:dyDescent="0.3"/>
  <sheetData>
    <row r="1" spans="1:22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t="s">
        <v>16</v>
      </c>
      <c r="S1" t="s">
        <v>0</v>
      </c>
      <c r="T1" t="s">
        <v>17</v>
      </c>
      <c r="U1" t="s">
        <v>18</v>
      </c>
      <c r="V1" t="s">
        <v>19</v>
      </c>
    </row>
    <row r="2" spans="1:22" ht="15" customHeight="1" x14ac:dyDescent="0.3">
      <c r="A2">
        <v>0</v>
      </c>
      <c r="B2">
        <v>0</v>
      </c>
      <c r="C2">
        <v>333</v>
      </c>
      <c r="D2">
        <v>414</v>
      </c>
      <c r="E2">
        <v>2817</v>
      </c>
      <c r="F2">
        <v>3.295E-2</v>
      </c>
      <c r="G2">
        <v>29100</v>
      </c>
      <c r="H2">
        <v>0.107973575592041</v>
      </c>
      <c r="I2">
        <v>28100</v>
      </c>
      <c r="J2">
        <v>0.20019507408142101</v>
      </c>
      <c r="K2">
        <v>249</v>
      </c>
      <c r="L2">
        <v>0.14261317253112801</v>
      </c>
      <c r="M2">
        <v>0</v>
      </c>
      <c r="N2" t="s">
        <v>20</v>
      </c>
      <c r="O2">
        <f t="shared" ref="O2:O33" si="0">J2-L2</f>
        <v>5.7581901550292997E-2</v>
      </c>
      <c r="P2">
        <f t="shared" ref="P2:P33" si="1">I2/G2</f>
        <v>0.96563573883161513</v>
      </c>
      <c r="Q2" t="s">
        <v>21</v>
      </c>
      <c r="S2">
        <v>0</v>
      </c>
      <c r="T2">
        <f t="shared" ref="T2:T11" si="2">AVERAGEIF($A$2:$A$101,S2,$G$2:$G$101)</f>
        <v>29110</v>
      </c>
      <c r="U2">
        <f t="shared" ref="U2:U11" si="3">AVERAGEIF($A$2:$A$101,S2,$I$2:$I$101)</f>
        <v>27970</v>
      </c>
      <c r="V2">
        <f t="shared" ref="V2:V11" si="4">U2/T2</f>
        <v>0.96083819993129504</v>
      </c>
    </row>
    <row r="3" spans="1:22" ht="15" customHeight="1" x14ac:dyDescent="0.3">
      <c r="A3">
        <v>0</v>
      </c>
      <c r="B3">
        <v>1</v>
      </c>
      <c r="C3">
        <v>333</v>
      </c>
      <c r="D3">
        <v>420</v>
      </c>
      <c r="E3">
        <v>3206</v>
      </c>
      <c r="F3">
        <v>3.644E-2</v>
      </c>
      <c r="G3">
        <v>29800</v>
      </c>
      <c r="H3">
        <v>0.17348933219909701</v>
      </c>
      <c r="I3">
        <v>28300</v>
      </c>
      <c r="J3">
        <v>0.14896297454834001</v>
      </c>
      <c r="K3">
        <v>101</v>
      </c>
      <c r="L3">
        <v>0.104047536849976</v>
      </c>
      <c r="M3">
        <v>0</v>
      </c>
      <c r="N3" t="s">
        <v>22</v>
      </c>
      <c r="O3">
        <f t="shared" si="0"/>
        <v>4.4915437698364008E-2</v>
      </c>
      <c r="P3">
        <f t="shared" si="1"/>
        <v>0.94966442953020136</v>
      </c>
      <c r="Q3" t="s">
        <v>21</v>
      </c>
      <c r="S3">
        <v>1</v>
      </c>
      <c r="T3">
        <f t="shared" si="2"/>
        <v>81090</v>
      </c>
      <c r="U3">
        <f t="shared" si="3"/>
        <v>77820</v>
      </c>
      <c r="V3">
        <f t="shared" si="4"/>
        <v>0.95967443581206069</v>
      </c>
    </row>
    <row r="4" spans="1:22" ht="15" customHeight="1" x14ac:dyDescent="0.3">
      <c r="A4">
        <v>0</v>
      </c>
      <c r="B4">
        <v>2</v>
      </c>
      <c r="C4">
        <v>333</v>
      </c>
      <c r="D4">
        <v>381</v>
      </c>
      <c r="E4">
        <v>2055</v>
      </c>
      <c r="F4">
        <v>2.8389999999999999E-2</v>
      </c>
      <c r="G4">
        <v>27500</v>
      </c>
      <c r="H4">
        <v>0.105349063873291</v>
      </c>
      <c r="I4">
        <v>25300</v>
      </c>
      <c r="J4">
        <v>0.26838755607605003</v>
      </c>
      <c r="K4">
        <v>215</v>
      </c>
      <c r="L4">
        <v>0.193063259124756</v>
      </c>
      <c r="M4">
        <v>0</v>
      </c>
      <c r="N4" t="s">
        <v>23</v>
      </c>
      <c r="O4">
        <f t="shared" si="0"/>
        <v>7.5324296951294029E-2</v>
      </c>
      <c r="P4">
        <f t="shared" si="1"/>
        <v>0.92</v>
      </c>
      <c r="Q4" t="s">
        <v>21</v>
      </c>
      <c r="S4">
        <v>2</v>
      </c>
      <c r="T4">
        <f t="shared" si="2"/>
        <v>18270</v>
      </c>
      <c r="U4">
        <f t="shared" si="3"/>
        <v>17720</v>
      </c>
      <c r="V4">
        <f t="shared" si="4"/>
        <v>0.969896004378763</v>
      </c>
    </row>
    <row r="5" spans="1:22" ht="15" customHeight="1" x14ac:dyDescent="0.3">
      <c r="A5">
        <v>0</v>
      </c>
      <c r="B5">
        <v>3</v>
      </c>
      <c r="C5">
        <v>333</v>
      </c>
      <c r="D5">
        <v>428</v>
      </c>
      <c r="E5">
        <v>2321</v>
      </c>
      <c r="F5">
        <v>2.5399999999999999E-2</v>
      </c>
      <c r="G5">
        <v>31600</v>
      </c>
      <c r="H5">
        <v>9.6656560897827204E-2</v>
      </c>
      <c r="I5">
        <v>31000</v>
      </c>
      <c r="J5">
        <v>0.32122898101806602</v>
      </c>
      <c r="K5">
        <v>186</v>
      </c>
      <c r="L5">
        <v>0.237503051757813</v>
      </c>
      <c r="M5">
        <v>0</v>
      </c>
      <c r="N5" t="s">
        <v>24</v>
      </c>
      <c r="O5">
        <f t="shared" si="0"/>
        <v>8.3725929260253018E-2</v>
      </c>
      <c r="P5">
        <f t="shared" si="1"/>
        <v>0.98101265822784811</v>
      </c>
      <c r="Q5" t="s">
        <v>21</v>
      </c>
      <c r="S5">
        <v>3</v>
      </c>
      <c r="T5">
        <f t="shared" si="2"/>
        <v>12660</v>
      </c>
      <c r="U5">
        <f t="shared" si="3"/>
        <v>11790</v>
      </c>
      <c r="V5">
        <f t="shared" si="4"/>
        <v>0.93127962085308058</v>
      </c>
    </row>
    <row r="6" spans="1:22" ht="15" customHeight="1" x14ac:dyDescent="0.3">
      <c r="A6">
        <v>0</v>
      </c>
      <c r="B6">
        <v>4</v>
      </c>
      <c r="C6">
        <v>333</v>
      </c>
      <c r="D6">
        <v>403</v>
      </c>
      <c r="E6">
        <v>1969</v>
      </c>
      <c r="F6">
        <v>2.4309999999999998E-2</v>
      </c>
      <c r="G6">
        <v>29600</v>
      </c>
      <c r="H6">
        <v>0.14130711555480999</v>
      </c>
      <c r="I6">
        <v>28600</v>
      </c>
      <c r="J6">
        <v>0.33692216873169001</v>
      </c>
      <c r="K6">
        <v>155</v>
      </c>
      <c r="L6">
        <v>0.24074530601501501</v>
      </c>
      <c r="M6">
        <v>0</v>
      </c>
      <c r="N6" t="s">
        <v>25</v>
      </c>
      <c r="O6">
        <f t="shared" si="0"/>
        <v>9.6176862716674999E-2</v>
      </c>
      <c r="P6">
        <f t="shared" si="1"/>
        <v>0.96621621621621623</v>
      </c>
      <c r="Q6" t="s">
        <v>21</v>
      </c>
      <c r="S6">
        <v>4</v>
      </c>
      <c r="T6">
        <f t="shared" si="2"/>
        <v>13860</v>
      </c>
      <c r="U6">
        <f t="shared" si="3"/>
        <v>13290</v>
      </c>
      <c r="V6">
        <f t="shared" si="4"/>
        <v>0.95887445887445888</v>
      </c>
    </row>
    <row r="7" spans="1:22" ht="15" customHeight="1" x14ac:dyDescent="0.3">
      <c r="A7">
        <v>0</v>
      </c>
      <c r="B7">
        <v>5</v>
      </c>
      <c r="C7">
        <v>333</v>
      </c>
      <c r="D7">
        <v>419</v>
      </c>
      <c r="E7">
        <v>3337</v>
      </c>
      <c r="F7">
        <v>3.8109999999999998E-2</v>
      </c>
      <c r="G7">
        <v>29500</v>
      </c>
      <c r="H7">
        <v>0.17486810684204099</v>
      </c>
      <c r="I7">
        <v>27700</v>
      </c>
      <c r="J7">
        <v>0.33096337318420399</v>
      </c>
      <c r="K7">
        <v>327</v>
      </c>
      <c r="L7">
        <v>0.236278295516968</v>
      </c>
      <c r="M7">
        <v>0</v>
      </c>
      <c r="N7" t="s">
        <v>26</v>
      </c>
      <c r="O7">
        <f t="shared" si="0"/>
        <v>9.4685077667235995E-2</v>
      </c>
      <c r="P7">
        <f t="shared" si="1"/>
        <v>0.93898305084745759</v>
      </c>
      <c r="Q7" t="s">
        <v>27</v>
      </c>
      <c r="S7">
        <v>5</v>
      </c>
      <c r="T7">
        <f t="shared" si="2"/>
        <v>5720</v>
      </c>
      <c r="U7">
        <f t="shared" si="3"/>
        <v>5370</v>
      </c>
      <c r="V7">
        <f t="shared" si="4"/>
        <v>0.93881118881118886</v>
      </c>
    </row>
    <row r="8" spans="1:22" ht="15" customHeight="1" x14ac:dyDescent="0.3">
      <c r="A8">
        <v>0</v>
      </c>
      <c r="B8">
        <v>6</v>
      </c>
      <c r="C8">
        <v>333</v>
      </c>
      <c r="D8">
        <v>376</v>
      </c>
      <c r="E8">
        <v>2247</v>
      </c>
      <c r="F8">
        <v>3.1870000000000002E-2</v>
      </c>
      <c r="G8">
        <v>26300</v>
      </c>
      <c r="H8">
        <v>9.7455024719238295E-2</v>
      </c>
      <c r="I8">
        <v>25900</v>
      </c>
      <c r="J8">
        <v>0.23023390769958499</v>
      </c>
      <c r="K8">
        <v>143</v>
      </c>
      <c r="L8">
        <v>0.16960310935974099</v>
      </c>
      <c r="M8">
        <v>0</v>
      </c>
      <c r="N8" t="s">
        <v>28</v>
      </c>
      <c r="O8">
        <f t="shared" si="0"/>
        <v>6.0630798339844E-2</v>
      </c>
      <c r="P8">
        <f t="shared" si="1"/>
        <v>0.98479087452471481</v>
      </c>
      <c r="Q8" t="s">
        <v>21</v>
      </c>
      <c r="S8">
        <v>6</v>
      </c>
      <c r="T8">
        <f t="shared" si="2"/>
        <v>61170</v>
      </c>
      <c r="U8">
        <f t="shared" si="3"/>
        <v>58940</v>
      </c>
      <c r="V8">
        <f t="shared" si="4"/>
        <v>0.96354422102337745</v>
      </c>
    </row>
    <row r="9" spans="1:22" ht="15" customHeight="1" x14ac:dyDescent="0.3">
      <c r="A9">
        <v>0</v>
      </c>
      <c r="B9">
        <v>7</v>
      </c>
      <c r="C9">
        <v>333</v>
      </c>
      <c r="D9">
        <v>454</v>
      </c>
      <c r="E9">
        <v>2385</v>
      </c>
      <c r="F9">
        <v>2.3189999999999999E-2</v>
      </c>
      <c r="G9">
        <v>33900</v>
      </c>
      <c r="H9">
        <v>0.104006052017212</v>
      </c>
      <c r="I9">
        <v>32400</v>
      </c>
      <c r="J9">
        <v>0.27159476280212402</v>
      </c>
      <c r="K9">
        <v>187</v>
      </c>
      <c r="L9">
        <v>0.195265293121338</v>
      </c>
      <c r="M9">
        <v>0</v>
      </c>
      <c r="N9" t="s">
        <v>29</v>
      </c>
      <c r="O9">
        <f t="shared" si="0"/>
        <v>7.6329469680786022E-2</v>
      </c>
      <c r="P9">
        <f t="shared" si="1"/>
        <v>0.95575221238938057</v>
      </c>
      <c r="Q9" t="s">
        <v>21</v>
      </c>
      <c r="S9">
        <v>7</v>
      </c>
      <c r="T9">
        <f t="shared" si="2"/>
        <v>57430</v>
      </c>
      <c r="U9">
        <f t="shared" si="3"/>
        <v>55820</v>
      </c>
      <c r="V9">
        <f t="shared" si="4"/>
        <v>0.97196587149573399</v>
      </c>
    </row>
    <row r="10" spans="1:22" ht="15" customHeight="1" x14ac:dyDescent="0.3">
      <c r="A10">
        <v>0</v>
      </c>
      <c r="B10">
        <v>8</v>
      </c>
      <c r="C10">
        <v>333</v>
      </c>
      <c r="D10">
        <v>365</v>
      </c>
      <c r="E10">
        <v>1884</v>
      </c>
      <c r="F10">
        <v>2.836E-2</v>
      </c>
      <c r="G10">
        <v>27400</v>
      </c>
      <c r="H10">
        <v>9.2888593673706096E-2</v>
      </c>
      <c r="I10">
        <v>26500</v>
      </c>
      <c r="J10">
        <v>0.206187725067139</v>
      </c>
      <c r="K10">
        <v>137</v>
      </c>
      <c r="L10">
        <v>0.15529870986938499</v>
      </c>
      <c r="M10">
        <v>0</v>
      </c>
      <c r="N10" t="s">
        <v>30</v>
      </c>
      <c r="O10">
        <f t="shared" si="0"/>
        <v>5.0889015197754017E-2</v>
      </c>
      <c r="P10">
        <f t="shared" si="1"/>
        <v>0.96715328467153283</v>
      </c>
      <c r="Q10" t="s">
        <v>21</v>
      </c>
      <c r="S10">
        <v>8</v>
      </c>
      <c r="T10">
        <f t="shared" si="2"/>
        <v>44870</v>
      </c>
      <c r="U10">
        <f t="shared" si="3"/>
        <v>42350</v>
      </c>
      <c r="V10">
        <f t="shared" si="4"/>
        <v>0.94383775351014043</v>
      </c>
    </row>
    <row r="11" spans="1:22" ht="15" customHeight="1" x14ac:dyDescent="0.3">
      <c r="A11">
        <v>0</v>
      </c>
      <c r="B11">
        <v>9</v>
      </c>
      <c r="C11">
        <v>333</v>
      </c>
      <c r="D11">
        <v>358</v>
      </c>
      <c r="E11">
        <v>1687</v>
      </c>
      <c r="F11">
        <v>2.64E-2</v>
      </c>
      <c r="G11">
        <v>26400</v>
      </c>
      <c r="H11">
        <v>7.3641538619995103E-2</v>
      </c>
      <c r="I11">
        <v>25900</v>
      </c>
      <c r="J11">
        <v>0.266149282455444</v>
      </c>
      <c r="K11">
        <v>134</v>
      </c>
      <c r="L11">
        <v>0.18876552581787101</v>
      </c>
      <c r="M11">
        <v>0</v>
      </c>
      <c r="N11" t="s">
        <v>31</v>
      </c>
      <c r="O11">
        <f t="shared" si="0"/>
        <v>7.7383756637572992E-2</v>
      </c>
      <c r="P11">
        <f t="shared" si="1"/>
        <v>0.98106060606060608</v>
      </c>
      <c r="Q11" t="s">
        <v>21</v>
      </c>
      <c r="S11">
        <v>9</v>
      </c>
      <c r="T11">
        <f t="shared" si="2"/>
        <v>5300</v>
      </c>
      <c r="U11">
        <f t="shared" si="3"/>
        <v>5120</v>
      </c>
      <c r="V11">
        <f t="shared" si="4"/>
        <v>0.96603773584905661</v>
      </c>
    </row>
    <row r="12" spans="1:22" ht="15" customHeight="1" x14ac:dyDescent="0.3">
      <c r="A12">
        <v>1</v>
      </c>
      <c r="B12">
        <v>0</v>
      </c>
      <c r="C12">
        <v>1034</v>
      </c>
      <c r="D12">
        <v>1206</v>
      </c>
      <c r="E12">
        <v>17843</v>
      </c>
      <c r="F12">
        <v>2.4559999999999998E-2</v>
      </c>
      <c r="G12">
        <v>77600</v>
      </c>
      <c r="H12">
        <v>0.66260004043579102</v>
      </c>
      <c r="I12">
        <v>76900</v>
      </c>
      <c r="J12">
        <v>0.48967480659484902</v>
      </c>
      <c r="K12">
        <v>676</v>
      </c>
      <c r="L12">
        <v>0.34439706802368197</v>
      </c>
      <c r="M12">
        <v>0</v>
      </c>
      <c r="N12" t="s">
        <v>32</v>
      </c>
      <c r="O12">
        <f t="shared" si="0"/>
        <v>0.14527773857116705</v>
      </c>
      <c r="P12">
        <f t="shared" si="1"/>
        <v>0.990979381443299</v>
      </c>
      <c r="Q12" t="s">
        <v>21</v>
      </c>
    </row>
    <row r="13" spans="1:22" ht="15" customHeight="1" x14ac:dyDescent="0.3">
      <c r="A13">
        <v>1</v>
      </c>
      <c r="B13">
        <v>1</v>
      </c>
      <c r="C13">
        <v>1034</v>
      </c>
      <c r="D13">
        <v>1312</v>
      </c>
      <c r="E13">
        <v>23033</v>
      </c>
      <c r="F13">
        <v>2.6780000000000002E-2</v>
      </c>
      <c r="G13">
        <v>81900</v>
      </c>
      <c r="H13">
        <v>2.01060223579407</v>
      </c>
      <c r="I13">
        <v>76400</v>
      </c>
      <c r="J13">
        <v>0.28018665313720698</v>
      </c>
      <c r="K13">
        <v>305</v>
      </c>
      <c r="L13">
        <v>0.19864130020141599</v>
      </c>
      <c r="M13">
        <v>0</v>
      </c>
      <c r="N13" t="s">
        <v>33</v>
      </c>
      <c r="O13">
        <f t="shared" si="0"/>
        <v>8.1545352935790988E-2</v>
      </c>
      <c r="P13">
        <f t="shared" si="1"/>
        <v>0.93284493284493286</v>
      </c>
      <c r="Q13" t="s">
        <v>21</v>
      </c>
    </row>
    <row r="14" spans="1:22" ht="15" customHeight="1" x14ac:dyDescent="0.3">
      <c r="A14">
        <v>1</v>
      </c>
      <c r="B14">
        <v>2</v>
      </c>
      <c r="C14">
        <v>1034</v>
      </c>
      <c r="D14">
        <v>1246</v>
      </c>
      <c r="E14">
        <v>21624</v>
      </c>
      <c r="F14">
        <v>2.7879999999999999E-2</v>
      </c>
      <c r="G14">
        <v>78300</v>
      </c>
      <c r="H14">
        <v>1.45177555084229</v>
      </c>
      <c r="I14">
        <v>73800</v>
      </c>
      <c r="J14">
        <v>0.40512466430664101</v>
      </c>
      <c r="K14">
        <v>360</v>
      </c>
      <c r="L14">
        <v>0.28733348846435602</v>
      </c>
      <c r="M14">
        <v>0</v>
      </c>
      <c r="N14" t="s">
        <v>34</v>
      </c>
      <c r="O14">
        <f t="shared" si="0"/>
        <v>0.11779117584228499</v>
      </c>
      <c r="P14">
        <f t="shared" si="1"/>
        <v>0.94252873563218387</v>
      </c>
      <c r="Q14" t="s">
        <v>21</v>
      </c>
    </row>
    <row r="15" spans="1:22" ht="15" customHeight="1" x14ac:dyDescent="0.3">
      <c r="A15">
        <v>1</v>
      </c>
      <c r="B15">
        <v>3</v>
      </c>
      <c r="C15">
        <v>1034</v>
      </c>
      <c r="D15">
        <v>1199</v>
      </c>
      <c r="E15">
        <v>17830</v>
      </c>
      <c r="F15">
        <v>2.4830000000000001E-2</v>
      </c>
      <c r="G15">
        <v>77700</v>
      </c>
      <c r="H15">
        <v>0.80691647529602095</v>
      </c>
      <c r="I15">
        <v>75400</v>
      </c>
      <c r="J15">
        <v>0.68796539306640603</v>
      </c>
      <c r="K15">
        <v>901</v>
      </c>
      <c r="L15">
        <v>0.48706698417663602</v>
      </c>
      <c r="M15">
        <v>0</v>
      </c>
      <c r="N15" t="s">
        <v>35</v>
      </c>
      <c r="O15">
        <f t="shared" si="0"/>
        <v>0.20089840888977001</v>
      </c>
      <c r="P15">
        <f t="shared" si="1"/>
        <v>0.97039897039897038</v>
      </c>
      <c r="Q15" t="s">
        <v>21</v>
      </c>
    </row>
    <row r="16" spans="1:22" ht="15" customHeight="1" x14ac:dyDescent="0.3">
      <c r="A16">
        <v>1</v>
      </c>
      <c r="B16">
        <v>4</v>
      </c>
      <c r="C16">
        <v>1034</v>
      </c>
      <c r="D16">
        <v>1143</v>
      </c>
      <c r="E16">
        <v>15643</v>
      </c>
      <c r="F16">
        <v>2.3970000000000002E-2</v>
      </c>
      <c r="G16">
        <v>75500</v>
      </c>
      <c r="H16">
        <v>0.64310717582702603</v>
      </c>
      <c r="I16">
        <v>74600</v>
      </c>
      <c r="J16">
        <v>0.50077342987060602</v>
      </c>
      <c r="K16">
        <v>701</v>
      </c>
      <c r="L16">
        <v>0.34934258460998502</v>
      </c>
      <c r="M16">
        <v>0</v>
      </c>
      <c r="N16" t="s">
        <v>36</v>
      </c>
      <c r="O16">
        <f t="shared" si="0"/>
        <v>0.15143084526062101</v>
      </c>
      <c r="P16">
        <f t="shared" si="1"/>
        <v>0.98807947019867548</v>
      </c>
      <c r="Q16" t="s">
        <v>21</v>
      </c>
    </row>
    <row r="17" spans="1:17" ht="15" customHeight="1" x14ac:dyDescent="0.3">
      <c r="A17">
        <v>1</v>
      </c>
      <c r="B17">
        <v>5</v>
      </c>
      <c r="C17">
        <v>1034</v>
      </c>
      <c r="D17">
        <v>1402</v>
      </c>
      <c r="E17">
        <v>26091</v>
      </c>
      <c r="F17">
        <v>2.657E-2</v>
      </c>
      <c r="G17">
        <v>88400</v>
      </c>
      <c r="H17">
        <v>2.31538009643555</v>
      </c>
      <c r="I17">
        <v>83800</v>
      </c>
      <c r="J17">
        <v>0.63088536262512196</v>
      </c>
      <c r="K17">
        <v>371</v>
      </c>
      <c r="L17">
        <v>0.44404339790344199</v>
      </c>
      <c r="M17">
        <v>0</v>
      </c>
      <c r="N17" t="s">
        <v>37</v>
      </c>
      <c r="O17">
        <f t="shared" si="0"/>
        <v>0.18684196472167997</v>
      </c>
      <c r="P17">
        <f t="shared" si="1"/>
        <v>0.94796380090497734</v>
      </c>
      <c r="Q17" t="s">
        <v>38</v>
      </c>
    </row>
    <row r="18" spans="1:17" ht="15" customHeight="1" x14ac:dyDescent="0.3">
      <c r="A18">
        <v>1</v>
      </c>
      <c r="B18">
        <v>6</v>
      </c>
      <c r="C18">
        <v>1034</v>
      </c>
      <c r="D18">
        <v>1268</v>
      </c>
      <c r="E18">
        <v>21350</v>
      </c>
      <c r="F18">
        <v>2.6579999999999999E-2</v>
      </c>
      <c r="G18">
        <v>81900</v>
      </c>
      <c r="H18">
        <v>1.5228903293609599</v>
      </c>
      <c r="I18">
        <v>79500</v>
      </c>
      <c r="J18">
        <v>0.98019099235534701</v>
      </c>
      <c r="K18">
        <v>523</v>
      </c>
      <c r="L18">
        <v>0.71248888969421398</v>
      </c>
      <c r="M18">
        <v>0</v>
      </c>
      <c r="N18" t="s">
        <v>39</v>
      </c>
      <c r="O18">
        <f t="shared" si="0"/>
        <v>0.26770210266113303</v>
      </c>
      <c r="P18">
        <f t="shared" si="1"/>
        <v>0.97069597069597069</v>
      </c>
      <c r="Q18" t="s">
        <v>21</v>
      </c>
    </row>
    <row r="19" spans="1:17" ht="15" customHeight="1" x14ac:dyDescent="0.3">
      <c r="A19">
        <v>1</v>
      </c>
      <c r="B19">
        <v>7</v>
      </c>
      <c r="C19">
        <v>1034</v>
      </c>
      <c r="D19">
        <v>1322</v>
      </c>
      <c r="E19">
        <v>20874</v>
      </c>
      <c r="F19">
        <v>2.3910000000000001E-2</v>
      </c>
      <c r="G19">
        <v>85500</v>
      </c>
      <c r="H19">
        <v>1.50202536582947</v>
      </c>
      <c r="I19">
        <v>77000</v>
      </c>
      <c r="J19">
        <v>0.77318000793456998</v>
      </c>
      <c r="K19">
        <v>349</v>
      </c>
      <c r="L19">
        <v>0.55222511291503895</v>
      </c>
      <c r="M19">
        <v>0</v>
      </c>
      <c r="N19" t="s">
        <v>40</v>
      </c>
      <c r="O19">
        <f t="shared" si="0"/>
        <v>0.22095489501953103</v>
      </c>
      <c r="P19">
        <f t="shared" si="1"/>
        <v>0.90058479532163738</v>
      </c>
      <c r="Q19" t="s">
        <v>21</v>
      </c>
    </row>
    <row r="20" spans="1:17" ht="15" customHeight="1" x14ac:dyDescent="0.3">
      <c r="A20">
        <v>1</v>
      </c>
      <c r="B20">
        <v>8</v>
      </c>
      <c r="C20">
        <v>1034</v>
      </c>
      <c r="D20">
        <v>1308</v>
      </c>
      <c r="E20">
        <v>24205</v>
      </c>
      <c r="F20">
        <v>2.8320000000000001E-2</v>
      </c>
      <c r="G20">
        <v>83000</v>
      </c>
      <c r="H20">
        <v>4.87156057357788</v>
      </c>
      <c r="I20">
        <v>81400</v>
      </c>
      <c r="J20">
        <v>1.48429608345032</v>
      </c>
      <c r="K20">
        <v>786</v>
      </c>
      <c r="L20">
        <v>1.0325834751129199</v>
      </c>
      <c r="M20">
        <v>0</v>
      </c>
      <c r="N20" t="s">
        <v>41</v>
      </c>
      <c r="O20">
        <f t="shared" si="0"/>
        <v>0.45171260833740012</v>
      </c>
      <c r="P20">
        <f t="shared" si="1"/>
        <v>0.98072289156626502</v>
      </c>
      <c r="Q20" t="s">
        <v>21</v>
      </c>
    </row>
    <row r="21" spans="1:17" ht="15" customHeight="1" x14ac:dyDescent="0.3">
      <c r="A21">
        <v>1</v>
      </c>
      <c r="B21">
        <v>9</v>
      </c>
      <c r="C21">
        <v>1034</v>
      </c>
      <c r="D21">
        <v>1253</v>
      </c>
      <c r="E21">
        <v>22097</v>
      </c>
      <c r="F21">
        <v>2.8170000000000001E-2</v>
      </c>
      <c r="G21">
        <v>81100</v>
      </c>
      <c r="H21">
        <v>1.63896465301514</v>
      </c>
      <c r="I21">
        <v>79400</v>
      </c>
      <c r="J21">
        <v>1.7495877742767301</v>
      </c>
      <c r="K21">
        <v>754</v>
      </c>
      <c r="L21">
        <v>1.2266533374786399</v>
      </c>
      <c r="M21">
        <v>0</v>
      </c>
      <c r="N21" t="s">
        <v>42</v>
      </c>
      <c r="O21">
        <f t="shared" si="0"/>
        <v>0.52293443679809015</v>
      </c>
      <c r="P21">
        <f t="shared" si="1"/>
        <v>0.97903822441430333</v>
      </c>
      <c r="Q21" t="s">
        <v>21</v>
      </c>
    </row>
    <row r="22" spans="1:17" ht="15" customHeight="1" x14ac:dyDescent="0.3">
      <c r="A22">
        <v>2</v>
      </c>
      <c r="B22">
        <v>0</v>
      </c>
      <c r="C22">
        <v>224</v>
      </c>
      <c r="D22">
        <v>287</v>
      </c>
      <c r="E22">
        <v>3411</v>
      </c>
      <c r="F22">
        <v>8.3110000000000003E-2</v>
      </c>
      <c r="G22">
        <v>19800</v>
      </c>
      <c r="H22">
        <v>8.6464643478393596E-2</v>
      </c>
      <c r="I22">
        <v>19000</v>
      </c>
      <c r="J22">
        <v>0.454879760742188</v>
      </c>
      <c r="K22">
        <v>244</v>
      </c>
      <c r="L22">
        <v>0.32987117767334001</v>
      </c>
      <c r="M22">
        <v>0</v>
      </c>
      <c r="N22" t="s">
        <v>43</v>
      </c>
      <c r="O22">
        <f t="shared" si="0"/>
        <v>0.12500858306884799</v>
      </c>
      <c r="P22">
        <f t="shared" si="1"/>
        <v>0.95959595959595956</v>
      </c>
      <c r="Q22" t="s">
        <v>21</v>
      </c>
    </row>
    <row r="23" spans="1:17" ht="15" customHeight="1" x14ac:dyDescent="0.3">
      <c r="A23">
        <v>2</v>
      </c>
      <c r="B23">
        <v>1</v>
      </c>
      <c r="C23">
        <v>224</v>
      </c>
      <c r="D23">
        <v>268</v>
      </c>
      <c r="E23">
        <v>2260</v>
      </c>
      <c r="F23">
        <v>6.3170000000000004E-2</v>
      </c>
      <c r="G23">
        <v>18500</v>
      </c>
      <c r="H23">
        <v>9.8619461059570299E-2</v>
      </c>
      <c r="I23">
        <v>18300</v>
      </c>
      <c r="J23">
        <v>0.293833017349243</v>
      </c>
      <c r="K23">
        <v>164</v>
      </c>
      <c r="L23">
        <v>0.20825529098510701</v>
      </c>
      <c r="M23">
        <v>0</v>
      </c>
      <c r="N23" t="s">
        <v>44</v>
      </c>
      <c r="O23">
        <f t="shared" si="0"/>
        <v>8.5577726364135992E-2</v>
      </c>
      <c r="P23">
        <f t="shared" si="1"/>
        <v>0.98918918918918919</v>
      </c>
      <c r="Q23" t="s">
        <v>21</v>
      </c>
    </row>
    <row r="24" spans="1:17" ht="15" customHeight="1" x14ac:dyDescent="0.3">
      <c r="A24">
        <v>2</v>
      </c>
      <c r="B24">
        <v>2</v>
      </c>
      <c r="C24">
        <v>224</v>
      </c>
      <c r="D24">
        <v>257</v>
      </c>
      <c r="E24">
        <v>2125</v>
      </c>
      <c r="F24">
        <v>6.4600000000000005E-2</v>
      </c>
      <c r="G24">
        <v>17500</v>
      </c>
      <c r="H24">
        <v>0.10792660713195799</v>
      </c>
      <c r="I24">
        <v>16600</v>
      </c>
      <c r="J24">
        <v>0.17113542556762701</v>
      </c>
      <c r="K24">
        <v>104</v>
      </c>
      <c r="L24">
        <v>0.119081020355225</v>
      </c>
      <c r="M24">
        <v>0</v>
      </c>
      <c r="N24" t="s">
        <v>45</v>
      </c>
      <c r="O24">
        <f t="shared" si="0"/>
        <v>5.2054405212402011E-2</v>
      </c>
      <c r="P24">
        <f t="shared" si="1"/>
        <v>0.94857142857142862</v>
      </c>
      <c r="Q24" t="s">
        <v>21</v>
      </c>
    </row>
    <row r="25" spans="1:17" ht="15" customHeight="1" x14ac:dyDescent="0.3">
      <c r="A25">
        <v>2</v>
      </c>
      <c r="B25">
        <v>3</v>
      </c>
      <c r="C25">
        <v>224</v>
      </c>
      <c r="D25">
        <v>293</v>
      </c>
      <c r="E25">
        <v>3293</v>
      </c>
      <c r="F25">
        <v>7.6980000000000007E-2</v>
      </c>
      <c r="G25">
        <v>18300</v>
      </c>
      <c r="H25">
        <v>0.123188257217407</v>
      </c>
      <c r="I25">
        <v>18100</v>
      </c>
      <c r="J25">
        <v>0.101378679275513</v>
      </c>
      <c r="K25">
        <v>63</v>
      </c>
      <c r="L25">
        <v>7.3570728302001995E-2</v>
      </c>
      <c r="M25">
        <v>0</v>
      </c>
      <c r="N25" t="s">
        <v>46</v>
      </c>
      <c r="O25">
        <f t="shared" si="0"/>
        <v>2.7807950973511006E-2</v>
      </c>
      <c r="P25">
        <f t="shared" si="1"/>
        <v>0.98907103825136611</v>
      </c>
      <c r="Q25" t="s">
        <v>21</v>
      </c>
    </row>
    <row r="26" spans="1:17" ht="15" customHeight="1" x14ac:dyDescent="0.3">
      <c r="A26">
        <v>2</v>
      </c>
      <c r="B26">
        <v>4</v>
      </c>
      <c r="C26">
        <v>224</v>
      </c>
      <c r="D26">
        <v>290</v>
      </c>
      <c r="E26">
        <v>2823</v>
      </c>
      <c r="F26">
        <v>6.7369999999999999E-2</v>
      </c>
      <c r="G26">
        <v>19400</v>
      </c>
      <c r="H26">
        <v>0.10853838920593301</v>
      </c>
      <c r="I26">
        <v>19000</v>
      </c>
      <c r="J26">
        <v>0.19558405876159701</v>
      </c>
      <c r="K26">
        <v>121</v>
      </c>
      <c r="L26">
        <v>0.13485860824585</v>
      </c>
      <c r="M26">
        <v>0</v>
      </c>
      <c r="N26" t="s">
        <v>47</v>
      </c>
      <c r="O26">
        <f t="shared" si="0"/>
        <v>6.0725450515747015E-2</v>
      </c>
      <c r="P26">
        <f t="shared" si="1"/>
        <v>0.97938144329896903</v>
      </c>
      <c r="Q26" t="s">
        <v>21</v>
      </c>
    </row>
    <row r="27" spans="1:17" ht="15" customHeight="1" x14ac:dyDescent="0.3">
      <c r="A27">
        <v>2</v>
      </c>
      <c r="B27">
        <v>5</v>
      </c>
      <c r="C27">
        <v>224</v>
      </c>
      <c r="D27">
        <v>243</v>
      </c>
      <c r="E27">
        <v>1763</v>
      </c>
      <c r="F27">
        <v>5.9959999999999999E-2</v>
      </c>
      <c r="G27">
        <v>16700</v>
      </c>
      <c r="H27">
        <v>8.5955381393432603E-2</v>
      </c>
      <c r="I27">
        <v>16000</v>
      </c>
      <c r="J27">
        <v>0.369455575942993</v>
      </c>
      <c r="K27">
        <v>100</v>
      </c>
      <c r="L27">
        <v>0.270863056182861</v>
      </c>
      <c r="M27">
        <v>0</v>
      </c>
      <c r="N27" t="s">
        <v>48</v>
      </c>
      <c r="O27">
        <f t="shared" si="0"/>
        <v>9.8592519760132002E-2</v>
      </c>
      <c r="P27">
        <f t="shared" si="1"/>
        <v>0.95808383233532934</v>
      </c>
      <c r="Q27" t="s">
        <v>49</v>
      </c>
    </row>
    <row r="28" spans="1:17" ht="15" customHeight="1" x14ac:dyDescent="0.3">
      <c r="A28">
        <v>2</v>
      </c>
      <c r="B28">
        <v>6</v>
      </c>
      <c r="C28">
        <v>224</v>
      </c>
      <c r="D28">
        <v>295</v>
      </c>
      <c r="E28">
        <v>3363</v>
      </c>
      <c r="F28">
        <v>7.7549999999999994E-2</v>
      </c>
      <c r="G28">
        <v>19300</v>
      </c>
      <c r="H28">
        <v>0.13249087333679199</v>
      </c>
      <c r="I28">
        <v>18900</v>
      </c>
      <c r="J28">
        <v>0.23950791358947801</v>
      </c>
      <c r="K28">
        <v>124</v>
      </c>
      <c r="L28">
        <v>0.17953681945800801</v>
      </c>
      <c r="M28">
        <v>0</v>
      </c>
      <c r="N28" t="s">
        <v>50</v>
      </c>
      <c r="O28">
        <f t="shared" si="0"/>
        <v>5.9971094131470004E-2</v>
      </c>
      <c r="P28">
        <f t="shared" si="1"/>
        <v>0.97927461139896377</v>
      </c>
      <c r="Q28" t="s">
        <v>21</v>
      </c>
    </row>
    <row r="29" spans="1:17" ht="15" customHeight="1" x14ac:dyDescent="0.3">
      <c r="A29">
        <v>2</v>
      </c>
      <c r="B29">
        <v>7</v>
      </c>
      <c r="C29">
        <v>224</v>
      </c>
      <c r="D29">
        <v>252</v>
      </c>
      <c r="E29">
        <v>2260</v>
      </c>
      <c r="F29">
        <v>7.1459999999999996E-2</v>
      </c>
      <c r="G29">
        <v>16100</v>
      </c>
      <c r="H29">
        <v>8.7392568588256794E-2</v>
      </c>
      <c r="I29">
        <v>15400</v>
      </c>
      <c r="J29">
        <v>0.112224340438843</v>
      </c>
      <c r="K29">
        <v>48</v>
      </c>
      <c r="L29">
        <v>7.8286170959472698E-2</v>
      </c>
      <c r="M29">
        <v>0</v>
      </c>
      <c r="N29" t="s">
        <v>51</v>
      </c>
      <c r="O29">
        <f t="shared" si="0"/>
        <v>3.3938169479370298E-2</v>
      </c>
      <c r="P29">
        <f t="shared" si="1"/>
        <v>0.95652173913043481</v>
      </c>
      <c r="Q29" t="s">
        <v>21</v>
      </c>
    </row>
    <row r="30" spans="1:17" ht="15" customHeight="1" x14ac:dyDescent="0.3">
      <c r="A30">
        <v>2</v>
      </c>
      <c r="B30">
        <v>8</v>
      </c>
      <c r="C30">
        <v>224</v>
      </c>
      <c r="D30">
        <v>291</v>
      </c>
      <c r="E30">
        <v>3417</v>
      </c>
      <c r="F30">
        <v>8.0979999999999996E-2</v>
      </c>
      <c r="G30">
        <v>18800</v>
      </c>
      <c r="H30">
        <v>0.132003784179688</v>
      </c>
      <c r="I30">
        <v>18600</v>
      </c>
      <c r="J30">
        <v>0.114304542541504</v>
      </c>
      <c r="K30">
        <v>58</v>
      </c>
      <c r="L30">
        <v>8.5125684738159194E-2</v>
      </c>
      <c r="M30">
        <v>0</v>
      </c>
      <c r="N30" t="s">
        <v>52</v>
      </c>
      <c r="O30">
        <f t="shared" si="0"/>
        <v>2.917885780334481E-2</v>
      </c>
      <c r="P30">
        <f t="shared" si="1"/>
        <v>0.98936170212765961</v>
      </c>
      <c r="Q30" t="s">
        <v>21</v>
      </c>
    </row>
    <row r="31" spans="1:17" ht="15" customHeight="1" x14ac:dyDescent="0.3">
      <c r="A31">
        <v>2</v>
      </c>
      <c r="B31">
        <v>9</v>
      </c>
      <c r="C31">
        <v>224</v>
      </c>
      <c r="D31">
        <v>265</v>
      </c>
      <c r="E31">
        <v>2118</v>
      </c>
      <c r="F31">
        <v>6.055E-2</v>
      </c>
      <c r="G31">
        <v>18300</v>
      </c>
      <c r="H31">
        <v>0.142737627029419</v>
      </c>
      <c r="I31">
        <v>17300</v>
      </c>
      <c r="J31">
        <v>8.3597183227539104E-2</v>
      </c>
      <c r="K31">
        <v>49</v>
      </c>
      <c r="L31">
        <v>5.8470726013183601E-2</v>
      </c>
      <c r="M31">
        <v>0</v>
      </c>
      <c r="N31" t="s">
        <v>53</v>
      </c>
      <c r="O31">
        <f t="shared" si="0"/>
        <v>2.5126457214355503E-2</v>
      </c>
      <c r="P31">
        <f t="shared" si="1"/>
        <v>0.94535519125683065</v>
      </c>
      <c r="Q31" t="s">
        <v>21</v>
      </c>
    </row>
    <row r="32" spans="1:17" ht="15" customHeight="1" x14ac:dyDescent="0.3">
      <c r="A32">
        <v>3</v>
      </c>
      <c r="B32">
        <v>0</v>
      </c>
      <c r="C32">
        <v>150</v>
      </c>
      <c r="D32">
        <v>207</v>
      </c>
      <c r="E32">
        <v>2130</v>
      </c>
      <c r="F32">
        <v>9.9900000000000003E-2</v>
      </c>
      <c r="G32">
        <v>13500</v>
      </c>
      <c r="H32">
        <v>9.64617729187012E-2</v>
      </c>
      <c r="I32">
        <v>12200</v>
      </c>
      <c r="J32">
        <v>8.4317445755004897E-2</v>
      </c>
      <c r="K32">
        <v>40</v>
      </c>
      <c r="L32">
        <v>6.1843633651733398E-2</v>
      </c>
      <c r="M32">
        <v>0</v>
      </c>
      <c r="N32" t="s">
        <v>53</v>
      </c>
      <c r="O32">
        <f t="shared" si="0"/>
        <v>2.2473812103271498E-2</v>
      </c>
      <c r="P32">
        <f t="shared" si="1"/>
        <v>0.90370370370370368</v>
      </c>
      <c r="Q32" t="s">
        <v>21</v>
      </c>
    </row>
    <row r="33" spans="1:17" ht="15" customHeight="1" x14ac:dyDescent="0.3">
      <c r="A33">
        <v>3</v>
      </c>
      <c r="B33">
        <v>1</v>
      </c>
      <c r="C33">
        <v>150</v>
      </c>
      <c r="D33">
        <v>195</v>
      </c>
      <c r="E33">
        <v>1690</v>
      </c>
      <c r="F33">
        <v>8.9349999999999999E-2</v>
      </c>
      <c r="G33">
        <v>13000</v>
      </c>
      <c r="H33">
        <v>8.24999809265137E-2</v>
      </c>
      <c r="I33">
        <v>12000</v>
      </c>
      <c r="J33">
        <v>6.9282293319702204E-2</v>
      </c>
      <c r="K33">
        <v>36</v>
      </c>
      <c r="L33">
        <v>5.1091194152831997E-2</v>
      </c>
      <c r="M33">
        <v>0</v>
      </c>
      <c r="N33" t="s">
        <v>54</v>
      </c>
      <c r="O33">
        <f t="shared" si="0"/>
        <v>1.8191099166870207E-2</v>
      </c>
      <c r="P33">
        <f t="shared" si="1"/>
        <v>0.92307692307692313</v>
      </c>
      <c r="Q33" t="s">
        <v>21</v>
      </c>
    </row>
    <row r="34" spans="1:17" ht="15" customHeight="1" x14ac:dyDescent="0.3">
      <c r="A34">
        <v>3</v>
      </c>
      <c r="B34">
        <v>2</v>
      </c>
      <c r="C34">
        <v>150</v>
      </c>
      <c r="D34">
        <v>196</v>
      </c>
      <c r="E34">
        <v>1619</v>
      </c>
      <c r="F34">
        <v>8.4720000000000004E-2</v>
      </c>
      <c r="G34">
        <v>12700</v>
      </c>
      <c r="H34">
        <v>7.8423738479614299E-2</v>
      </c>
      <c r="I34">
        <v>11800</v>
      </c>
      <c r="J34">
        <v>0.160611152648926</v>
      </c>
      <c r="K34">
        <v>68</v>
      </c>
      <c r="L34">
        <v>0.117599248886108</v>
      </c>
      <c r="M34">
        <v>0</v>
      </c>
      <c r="N34" t="s">
        <v>55</v>
      </c>
      <c r="O34">
        <f t="shared" ref="O34:O65" si="5">J34-L34</f>
        <v>4.3011903762818007E-2</v>
      </c>
      <c r="P34">
        <f t="shared" ref="P34:P65" si="6">I34/G34</f>
        <v>0.92913385826771655</v>
      </c>
      <c r="Q34" t="s">
        <v>21</v>
      </c>
    </row>
    <row r="35" spans="1:17" ht="15" customHeight="1" x14ac:dyDescent="0.3">
      <c r="A35">
        <v>3</v>
      </c>
      <c r="B35">
        <v>3</v>
      </c>
      <c r="C35">
        <v>150</v>
      </c>
      <c r="D35">
        <v>195</v>
      </c>
      <c r="E35">
        <v>1382</v>
      </c>
      <c r="F35">
        <v>7.306E-2</v>
      </c>
      <c r="G35">
        <v>14300</v>
      </c>
      <c r="H35">
        <v>7.4910640716552707E-2</v>
      </c>
      <c r="I35">
        <v>14300</v>
      </c>
      <c r="J35">
        <v>0.20637011528015101</v>
      </c>
      <c r="K35">
        <v>76</v>
      </c>
      <c r="L35">
        <v>0.144572973251343</v>
      </c>
      <c r="M35">
        <v>0</v>
      </c>
      <c r="N35" t="s">
        <v>56</v>
      </c>
      <c r="O35">
        <f t="shared" si="5"/>
        <v>6.1797142028808011E-2</v>
      </c>
      <c r="P35">
        <f t="shared" si="6"/>
        <v>1</v>
      </c>
      <c r="Q35" t="s">
        <v>21</v>
      </c>
    </row>
    <row r="36" spans="1:17" ht="15" customHeight="1" x14ac:dyDescent="0.3">
      <c r="A36">
        <v>3</v>
      </c>
      <c r="B36">
        <v>4</v>
      </c>
      <c r="C36">
        <v>150</v>
      </c>
      <c r="D36">
        <v>143</v>
      </c>
      <c r="E36">
        <v>1060</v>
      </c>
      <c r="F36">
        <v>0.10440000000000001</v>
      </c>
      <c r="G36">
        <v>9700</v>
      </c>
      <c r="H36">
        <v>6.7940473556518596E-2</v>
      </c>
      <c r="I36">
        <v>9700</v>
      </c>
      <c r="J36">
        <v>0.126156806945801</v>
      </c>
      <c r="K36">
        <v>54</v>
      </c>
      <c r="L36">
        <v>8.6170196533203097E-2</v>
      </c>
      <c r="M36">
        <v>0</v>
      </c>
      <c r="N36" t="s">
        <v>57</v>
      </c>
      <c r="O36">
        <f t="shared" si="5"/>
        <v>3.9986610412597906E-2</v>
      </c>
      <c r="P36">
        <f t="shared" si="6"/>
        <v>1</v>
      </c>
      <c r="Q36" t="s">
        <v>21</v>
      </c>
    </row>
    <row r="37" spans="1:17" ht="15" customHeight="1" x14ac:dyDescent="0.3">
      <c r="A37">
        <v>3</v>
      </c>
      <c r="B37">
        <v>5</v>
      </c>
      <c r="C37">
        <v>150</v>
      </c>
      <c r="D37">
        <v>204</v>
      </c>
      <c r="E37">
        <v>1902</v>
      </c>
      <c r="F37">
        <v>9.1859999999999997E-2</v>
      </c>
      <c r="G37">
        <v>14200</v>
      </c>
      <c r="H37">
        <v>9.2318058013916002E-2</v>
      </c>
      <c r="I37">
        <v>13000</v>
      </c>
      <c r="J37">
        <v>0.153244733810425</v>
      </c>
      <c r="K37">
        <v>68</v>
      </c>
      <c r="L37">
        <v>0.11152768135070799</v>
      </c>
      <c r="M37">
        <v>0</v>
      </c>
      <c r="N37" t="s">
        <v>58</v>
      </c>
      <c r="O37">
        <f t="shared" si="5"/>
        <v>4.1717052459717005E-2</v>
      </c>
      <c r="P37">
        <f t="shared" si="6"/>
        <v>0.91549295774647887</v>
      </c>
      <c r="Q37" t="s">
        <v>59</v>
      </c>
    </row>
    <row r="38" spans="1:17" ht="15" customHeight="1" x14ac:dyDescent="0.3">
      <c r="A38">
        <v>3</v>
      </c>
      <c r="B38">
        <v>6</v>
      </c>
      <c r="C38">
        <v>150</v>
      </c>
      <c r="D38">
        <v>200</v>
      </c>
      <c r="E38">
        <v>1244</v>
      </c>
      <c r="F38">
        <v>6.2509999999999996E-2</v>
      </c>
      <c r="G38">
        <v>14600</v>
      </c>
      <c r="H38">
        <v>6.8158388137817397E-2</v>
      </c>
      <c r="I38">
        <v>12600</v>
      </c>
      <c r="J38">
        <v>0.17773056030273399</v>
      </c>
      <c r="K38">
        <v>86</v>
      </c>
      <c r="L38">
        <v>0.13188648223877</v>
      </c>
      <c r="M38">
        <v>0</v>
      </c>
      <c r="N38" t="s">
        <v>60</v>
      </c>
      <c r="O38">
        <f t="shared" si="5"/>
        <v>4.5844078063963983E-2</v>
      </c>
      <c r="P38">
        <f t="shared" si="6"/>
        <v>0.86301369863013699</v>
      </c>
      <c r="Q38" t="s">
        <v>21</v>
      </c>
    </row>
    <row r="39" spans="1:17" ht="15" customHeight="1" x14ac:dyDescent="0.3">
      <c r="A39">
        <v>3</v>
      </c>
      <c r="B39">
        <v>7</v>
      </c>
      <c r="C39">
        <v>150</v>
      </c>
      <c r="D39">
        <v>190</v>
      </c>
      <c r="E39">
        <v>1764</v>
      </c>
      <c r="F39">
        <v>9.8250000000000004E-2</v>
      </c>
      <c r="G39">
        <v>12100</v>
      </c>
      <c r="H39">
        <v>6.0070037841796903E-2</v>
      </c>
      <c r="I39">
        <v>10800</v>
      </c>
      <c r="J39">
        <v>9.2191934585571303E-2</v>
      </c>
      <c r="K39">
        <v>36</v>
      </c>
      <c r="L39">
        <v>6.8498373031616197E-2</v>
      </c>
      <c r="M39">
        <v>0</v>
      </c>
      <c r="N39" t="s">
        <v>61</v>
      </c>
      <c r="O39">
        <f t="shared" si="5"/>
        <v>2.3693561553955106E-2</v>
      </c>
      <c r="P39">
        <f t="shared" si="6"/>
        <v>0.8925619834710744</v>
      </c>
      <c r="Q39" t="s">
        <v>21</v>
      </c>
    </row>
    <row r="40" spans="1:17" ht="15" customHeight="1" x14ac:dyDescent="0.3">
      <c r="A40">
        <v>3</v>
      </c>
      <c r="B40">
        <v>8</v>
      </c>
      <c r="C40">
        <v>150</v>
      </c>
      <c r="D40">
        <v>143</v>
      </c>
      <c r="E40">
        <v>845</v>
      </c>
      <c r="F40">
        <v>8.3229999999999998E-2</v>
      </c>
      <c r="G40">
        <v>10000</v>
      </c>
      <c r="H40">
        <v>7.1063041687011705E-2</v>
      </c>
      <c r="I40">
        <v>10000</v>
      </c>
      <c r="J40">
        <v>0.12502813339233401</v>
      </c>
      <c r="K40">
        <v>58</v>
      </c>
      <c r="L40">
        <v>8.7124586105346694E-2</v>
      </c>
      <c r="M40">
        <v>0</v>
      </c>
      <c r="N40" t="s">
        <v>62</v>
      </c>
      <c r="O40">
        <f t="shared" si="5"/>
        <v>3.7903547286987319E-2</v>
      </c>
      <c r="P40">
        <f t="shared" si="6"/>
        <v>1</v>
      </c>
      <c r="Q40" t="s">
        <v>21</v>
      </c>
    </row>
    <row r="41" spans="1:17" ht="15" customHeight="1" x14ac:dyDescent="0.3">
      <c r="A41">
        <v>3</v>
      </c>
      <c r="B41">
        <v>9</v>
      </c>
      <c r="C41">
        <v>150</v>
      </c>
      <c r="D41">
        <v>183</v>
      </c>
      <c r="E41">
        <v>1725</v>
      </c>
      <c r="F41">
        <v>0.10358000000000001</v>
      </c>
      <c r="G41">
        <v>12500</v>
      </c>
      <c r="H41">
        <v>7.9946041107177707E-2</v>
      </c>
      <c r="I41">
        <v>11500</v>
      </c>
      <c r="J41">
        <v>0.1148521900177</v>
      </c>
      <c r="K41">
        <v>40</v>
      </c>
      <c r="L41">
        <v>8.2104921340942397E-2</v>
      </c>
      <c r="M41">
        <v>0</v>
      </c>
      <c r="N41" t="s">
        <v>63</v>
      </c>
      <c r="O41">
        <f t="shared" si="5"/>
        <v>3.2747268676757604E-2</v>
      </c>
      <c r="P41">
        <f t="shared" si="6"/>
        <v>0.92</v>
      </c>
      <c r="Q41" t="s">
        <v>21</v>
      </c>
    </row>
    <row r="42" spans="1:17" ht="15" customHeight="1" x14ac:dyDescent="0.3">
      <c r="A42">
        <v>4</v>
      </c>
      <c r="B42">
        <v>0</v>
      </c>
      <c r="C42">
        <v>168</v>
      </c>
      <c r="D42">
        <v>222</v>
      </c>
      <c r="E42">
        <v>1398</v>
      </c>
      <c r="F42">
        <v>5.6989999999999999E-2</v>
      </c>
      <c r="G42">
        <v>15900</v>
      </c>
      <c r="H42">
        <v>6.7635297775268596E-2</v>
      </c>
      <c r="I42">
        <v>14900</v>
      </c>
      <c r="J42">
        <v>0.279858589172363</v>
      </c>
      <c r="K42">
        <v>125</v>
      </c>
      <c r="L42">
        <v>0.20534777641296401</v>
      </c>
      <c r="M42">
        <v>0</v>
      </c>
      <c r="N42" t="s">
        <v>64</v>
      </c>
      <c r="O42">
        <f t="shared" si="5"/>
        <v>7.4510812759398998E-2</v>
      </c>
      <c r="P42">
        <f t="shared" si="6"/>
        <v>0.93710691823899372</v>
      </c>
      <c r="Q42" t="s">
        <v>21</v>
      </c>
    </row>
    <row r="43" spans="1:17" ht="15" customHeight="1" x14ac:dyDescent="0.3">
      <c r="A43">
        <v>4</v>
      </c>
      <c r="B43">
        <v>1</v>
      </c>
      <c r="C43">
        <v>168</v>
      </c>
      <c r="D43">
        <v>202</v>
      </c>
      <c r="E43">
        <v>1576</v>
      </c>
      <c r="F43">
        <v>7.7630000000000005E-2</v>
      </c>
      <c r="G43">
        <v>12600</v>
      </c>
      <c r="H43">
        <v>8.2010507583618206E-2</v>
      </c>
      <c r="I43">
        <v>12400</v>
      </c>
      <c r="J43">
        <v>0.167520761489868</v>
      </c>
      <c r="K43">
        <v>72</v>
      </c>
      <c r="L43">
        <v>0.117140054702759</v>
      </c>
      <c r="M43">
        <v>0</v>
      </c>
      <c r="N43" t="s">
        <v>64</v>
      </c>
      <c r="O43">
        <f t="shared" si="5"/>
        <v>5.0380706787109E-2</v>
      </c>
      <c r="P43">
        <f t="shared" si="6"/>
        <v>0.98412698412698407</v>
      </c>
      <c r="Q43" t="s">
        <v>21</v>
      </c>
    </row>
    <row r="44" spans="1:17" ht="15" customHeight="1" x14ac:dyDescent="0.3">
      <c r="A44">
        <v>4</v>
      </c>
      <c r="B44">
        <v>2</v>
      </c>
      <c r="C44">
        <v>168</v>
      </c>
      <c r="D44">
        <v>181</v>
      </c>
      <c r="E44">
        <v>960</v>
      </c>
      <c r="F44">
        <v>5.8930000000000003E-2</v>
      </c>
      <c r="G44">
        <v>12500</v>
      </c>
      <c r="H44">
        <v>6.0491561889648403E-2</v>
      </c>
      <c r="I44">
        <v>11900</v>
      </c>
      <c r="J44">
        <v>0.24508261680603</v>
      </c>
      <c r="K44">
        <v>109</v>
      </c>
      <c r="L44">
        <v>0.17729973793029799</v>
      </c>
      <c r="M44">
        <v>0</v>
      </c>
      <c r="N44" t="s">
        <v>65</v>
      </c>
      <c r="O44">
        <f t="shared" si="5"/>
        <v>6.7782878875732006E-2</v>
      </c>
      <c r="P44">
        <f t="shared" si="6"/>
        <v>0.95199999999999996</v>
      </c>
      <c r="Q44" t="s">
        <v>21</v>
      </c>
    </row>
    <row r="45" spans="1:17" ht="15" customHeight="1" x14ac:dyDescent="0.3">
      <c r="A45">
        <v>4</v>
      </c>
      <c r="B45">
        <v>3</v>
      </c>
      <c r="C45">
        <v>168</v>
      </c>
      <c r="D45">
        <v>205</v>
      </c>
      <c r="E45">
        <v>1349</v>
      </c>
      <c r="F45">
        <v>6.4509999999999998E-2</v>
      </c>
      <c r="G45">
        <v>13700</v>
      </c>
      <c r="H45">
        <v>7.7063560485839802E-2</v>
      </c>
      <c r="I45">
        <v>13000</v>
      </c>
      <c r="J45">
        <v>0.19779467582702601</v>
      </c>
      <c r="K45">
        <v>67</v>
      </c>
      <c r="L45">
        <v>0.152085781097412</v>
      </c>
      <c r="M45">
        <v>0</v>
      </c>
      <c r="N45" t="s">
        <v>66</v>
      </c>
      <c r="O45">
        <f t="shared" si="5"/>
        <v>4.5708894729614008E-2</v>
      </c>
      <c r="P45">
        <f t="shared" si="6"/>
        <v>0.94890510948905105</v>
      </c>
      <c r="Q45" t="s">
        <v>21</v>
      </c>
    </row>
    <row r="46" spans="1:17" ht="15" customHeight="1" x14ac:dyDescent="0.3">
      <c r="A46">
        <v>4</v>
      </c>
      <c r="B46">
        <v>4</v>
      </c>
      <c r="C46">
        <v>168</v>
      </c>
      <c r="D46">
        <v>202</v>
      </c>
      <c r="E46">
        <v>1647</v>
      </c>
      <c r="F46">
        <v>8.1129999999999994E-2</v>
      </c>
      <c r="G46">
        <v>13900</v>
      </c>
      <c r="H46">
        <v>8.5453271865844699E-2</v>
      </c>
      <c r="I46">
        <v>13900</v>
      </c>
      <c r="J46">
        <v>0.13969373703002899</v>
      </c>
      <c r="K46">
        <v>52</v>
      </c>
      <c r="L46">
        <v>0.10083723068237301</v>
      </c>
      <c r="M46">
        <v>0</v>
      </c>
      <c r="N46" t="s">
        <v>67</v>
      </c>
      <c r="O46">
        <f t="shared" si="5"/>
        <v>3.8856506347655986E-2</v>
      </c>
      <c r="P46">
        <f t="shared" si="6"/>
        <v>1</v>
      </c>
      <c r="Q46" t="s">
        <v>21</v>
      </c>
    </row>
    <row r="47" spans="1:17" ht="15" customHeight="1" x14ac:dyDescent="0.3">
      <c r="A47">
        <v>4</v>
      </c>
      <c r="B47">
        <v>5</v>
      </c>
      <c r="C47">
        <v>168</v>
      </c>
      <c r="D47">
        <v>211</v>
      </c>
      <c r="E47">
        <v>1560</v>
      </c>
      <c r="F47">
        <v>7.041E-2</v>
      </c>
      <c r="G47">
        <v>14300</v>
      </c>
      <c r="H47">
        <v>8.0929756164550795E-2</v>
      </c>
      <c r="I47">
        <v>13600</v>
      </c>
      <c r="J47">
        <v>0.17456293106079099</v>
      </c>
      <c r="K47">
        <v>96</v>
      </c>
      <c r="L47">
        <v>0.12971305847167999</v>
      </c>
      <c r="M47">
        <v>0</v>
      </c>
      <c r="N47" t="s">
        <v>68</v>
      </c>
      <c r="O47">
        <f t="shared" si="5"/>
        <v>4.4849872589110995E-2</v>
      </c>
      <c r="P47">
        <f t="shared" si="6"/>
        <v>0.95104895104895104</v>
      </c>
      <c r="Q47" t="s">
        <v>69</v>
      </c>
    </row>
    <row r="48" spans="1:17" ht="15" customHeight="1" x14ac:dyDescent="0.3">
      <c r="A48">
        <v>4</v>
      </c>
      <c r="B48">
        <v>6</v>
      </c>
      <c r="C48">
        <v>168</v>
      </c>
      <c r="D48">
        <v>191</v>
      </c>
      <c r="E48">
        <v>1199</v>
      </c>
      <c r="F48">
        <v>6.608E-2</v>
      </c>
      <c r="G48">
        <v>12900</v>
      </c>
      <c r="H48">
        <v>6.01000785827637E-2</v>
      </c>
      <c r="I48">
        <v>12700</v>
      </c>
      <c r="J48">
        <v>0.152440786361694</v>
      </c>
      <c r="K48">
        <v>74</v>
      </c>
      <c r="L48">
        <v>0.106598615646362</v>
      </c>
      <c r="M48">
        <v>0</v>
      </c>
      <c r="N48" t="s">
        <v>70</v>
      </c>
      <c r="O48">
        <f t="shared" si="5"/>
        <v>4.5842170715332003E-2</v>
      </c>
      <c r="P48">
        <f t="shared" si="6"/>
        <v>0.98449612403100772</v>
      </c>
      <c r="Q48" t="s">
        <v>21</v>
      </c>
    </row>
    <row r="49" spans="1:17" ht="15" customHeight="1" x14ac:dyDescent="0.3">
      <c r="A49">
        <v>4</v>
      </c>
      <c r="B49">
        <v>7</v>
      </c>
      <c r="C49">
        <v>168</v>
      </c>
      <c r="D49">
        <v>209</v>
      </c>
      <c r="E49">
        <v>1319</v>
      </c>
      <c r="F49">
        <v>6.0679999999999998E-2</v>
      </c>
      <c r="G49">
        <v>14200</v>
      </c>
      <c r="H49">
        <v>8.4095001220703097E-2</v>
      </c>
      <c r="I49">
        <v>13700</v>
      </c>
      <c r="J49">
        <v>0.18896579742431599</v>
      </c>
      <c r="K49">
        <v>92</v>
      </c>
      <c r="L49">
        <v>0.14003515243530301</v>
      </c>
      <c r="M49">
        <v>0</v>
      </c>
      <c r="N49" t="s">
        <v>71</v>
      </c>
      <c r="O49">
        <f t="shared" si="5"/>
        <v>4.8930644989012978E-2</v>
      </c>
      <c r="P49">
        <f t="shared" si="6"/>
        <v>0.96478873239436624</v>
      </c>
      <c r="Q49" t="s">
        <v>21</v>
      </c>
    </row>
    <row r="50" spans="1:17" ht="15" customHeight="1" x14ac:dyDescent="0.3">
      <c r="A50">
        <v>4</v>
      </c>
      <c r="B50">
        <v>8</v>
      </c>
      <c r="C50">
        <v>168</v>
      </c>
      <c r="D50">
        <v>234</v>
      </c>
      <c r="E50">
        <v>2357</v>
      </c>
      <c r="F50">
        <v>8.6459999999999995E-2</v>
      </c>
      <c r="G50">
        <v>15800</v>
      </c>
      <c r="H50">
        <v>9.15091037750244E-2</v>
      </c>
      <c r="I50">
        <v>15100</v>
      </c>
      <c r="J50">
        <v>0.136234521865845</v>
      </c>
      <c r="K50">
        <v>50</v>
      </c>
      <c r="L50">
        <v>0.10280108451843301</v>
      </c>
      <c r="M50">
        <v>0</v>
      </c>
      <c r="N50" t="s">
        <v>72</v>
      </c>
      <c r="O50">
        <f t="shared" si="5"/>
        <v>3.3433437347411998E-2</v>
      </c>
      <c r="P50">
        <f t="shared" si="6"/>
        <v>0.95569620253164556</v>
      </c>
      <c r="Q50" t="s">
        <v>21</v>
      </c>
    </row>
    <row r="51" spans="1:17" ht="15" customHeight="1" x14ac:dyDescent="0.3">
      <c r="A51">
        <v>4</v>
      </c>
      <c r="B51">
        <v>9</v>
      </c>
      <c r="C51">
        <v>168</v>
      </c>
      <c r="D51">
        <v>199</v>
      </c>
      <c r="E51">
        <v>1735</v>
      </c>
      <c r="F51">
        <v>8.8069999999999996E-2</v>
      </c>
      <c r="G51">
        <v>12800</v>
      </c>
      <c r="H51">
        <v>8.5923910140991197E-2</v>
      </c>
      <c r="I51">
        <v>11700</v>
      </c>
      <c r="J51">
        <v>0.11237096786499</v>
      </c>
      <c r="K51">
        <v>41</v>
      </c>
      <c r="L51">
        <v>8.2675218582153306E-2</v>
      </c>
      <c r="M51">
        <v>0</v>
      </c>
      <c r="N51" t="s">
        <v>73</v>
      </c>
      <c r="O51">
        <f t="shared" si="5"/>
        <v>2.9695749282836692E-2</v>
      </c>
      <c r="P51">
        <f t="shared" si="6"/>
        <v>0.9140625</v>
      </c>
      <c r="Q51" t="s">
        <v>21</v>
      </c>
    </row>
    <row r="52" spans="1:17" ht="15" customHeight="1" x14ac:dyDescent="0.3">
      <c r="A52">
        <v>5</v>
      </c>
      <c r="B52">
        <v>0</v>
      </c>
      <c r="C52">
        <v>61</v>
      </c>
      <c r="D52">
        <v>90</v>
      </c>
      <c r="E52">
        <v>346</v>
      </c>
      <c r="F52">
        <v>8.6389999999999995E-2</v>
      </c>
      <c r="G52">
        <v>6800</v>
      </c>
      <c r="H52">
        <v>4.5180320739746101E-2</v>
      </c>
      <c r="I52">
        <v>6000</v>
      </c>
      <c r="J52">
        <v>5.8921575546264697E-2</v>
      </c>
      <c r="K52">
        <v>26</v>
      </c>
      <c r="L52">
        <v>4.2862892150878899E-2</v>
      </c>
      <c r="M52">
        <v>0</v>
      </c>
      <c r="N52" t="s">
        <v>74</v>
      </c>
      <c r="O52">
        <f t="shared" si="5"/>
        <v>1.6058683395385798E-2</v>
      </c>
      <c r="P52">
        <f t="shared" si="6"/>
        <v>0.88235294117647056</v>
      </c>
      <c r="Q52" t="s">
        <v>21</v>
      </c>
    </row>
    <row r="53" spans="1:17" ht="15" customHeight="1" x14ac:dyDescent="0.3">
      <c r="A53">
        <v>5</v>
      </c>
      <c r="B53">
        <v>1</v>
      </c>
      <c r="C53">
        <v>61</v>
      </c>
      <c r="D53">
        <v>61</v>
      </c>
      <c r="E53">
        <v>151</v>
      </c>
      <c r="F53">
        <v>8.251E-2</v>
      </c>
      <c r="G53">
        <v>4700</v>
      </c>
      <c r="H53">
        <v>3.0758619308471701E-2</v>
      </c>
      <c r="I53">
        <v>4500</v>
      </c>
      <c r="J53">
        <v>7.830810546875E-2</v>
      </c>
      <c r="K53">
        <v>35</v>
      </c>
      <c r="L53">
        <v>5.4702520370483398E-2</v>
      </c>
      <c r="M53">
        <v>0</v>
      </c>
      <c r="N53" t="s">
        <v>75</v>
      </c>
      <c r="O53">
        <f t="shared" si="5"/>
        <v>2.3605585098266602E-2</v>
      </c>
      <c r="P53">
        <f t="shared" si="6"/>
        <v>0.95744680851063835</v>
      </c>
      <c r="Q53" t="s">
        <v>21</v>
      </c>
    </row>
    <row r="54" spans="1:17" ht="15" customHeight="1" x14ac:dyDescent="0.3">
      <c r="A54">
        <v>5</v>
      </c>
      <c r="B54">
        <v>2</v>
      </c>
      <c r="C54">
        <v>61</v>
      </c>
      <c r="D54">
        <v>60</v>
      </c>
      <c r="E54">
        <v>266</v>
      </c>
      <c r="F54">
        <v>0.15028</v>
      </c>
      <c r="G54">
        <v>4700</v>
      </c>
      <c r="H54">
        <v>5.09285926818848E-2</v>
      </c>
      <c r="I54">
        <v>4300</v>
      </c>
      <c r="J54">
        <v>5.8910846710205099E-2</v>
      </c>
      <c r="K54">
        <v>24</v>
      </c>
      <c r="L54">
        <v>4.2159795761108398E-2</v>
      </c>
      <c r="M54">
        <v>0</v>
      </c>
      <c r="N54" t="s">
        <v>75</v>
      </c>
      <c r="O54">
        <f t="shared" si="5"/>
        <v>1.6751050949096701E-2</v>
      </c>
      <c r="P54">
        <f t="shared" si="6"/>
        <v>0.91489361702127658</v>
      </c>
      <c r="Q54" t="s">
        <v>21</v>
      </c>
    </row>
    <row r="55" spans="1:17" ht="15" customHeight="1" x14ac:dyDescent="0.3">
      <c r="A55">
        <v>5</v>
      </c>
      <c r="B55">
        <v>3</v>
      </c>
      <c r="C55">
        <v>61</v>
      </c>
      <c r="D55">
        <v>73</v>
      </c>
      <c r="E55">
        <v>374</v>
      </c>
      <c r="F55">
        <v>0.14230999999999999</v>
      </c>
      <c r="G55">
        <v>5800</v>
      </c>
      <c r="H55">
        <v>5.2094936370849602E-2</v>
      </c>
      <c r="I55">
        <v>5800</v>
      </c>
      <c r="J55">
        <v>8.4554910659789997E-2</v>
      </c>
      <c r="K55">
        <v>21</v>
      </c>
      <c r="L55">
        <v>6.1218976974487298E-2</v>
      </c>
      <c r="M55">
        <v>0</v>
      </c>
      <c r="N55" t="s">
        <v>76</v>
      </c>
      <c r="O55">
        <f t="shared" si="5"/>
        <v>2.33359336853027E-2</v>
      </c>
      <c r="P55">
        <f t="shared" si="6"/>
        <v>1</v>
      </c>
      <c r="Q55" t="s">
        <v>21</v>
      </c>
    </row>
    <row r="56" spans="1:17" ht="15" customHeight="1" x14ac:dyDescent="0.3">
      <c r="A56">
        <v>5</v>
      </c>
      <c r="B56">
        <v>4</v>
      </c>
      <c r="C56">
        <v>61</v>
      </c>
      <c r="D56">
        <v>73</v>
      </c>
      <c r="E56">
        <v>264</v>
      </c>
      <c r="F56">
        <v>0.10045999999999999</v>
      </c>
      <c r="G56">
        <v>5700</v>
      </c>
      <c r="H56">
        <v>4.9883604049682603E-2</v>
      </c>
      <c r="I56">
        <v>5100</v>
      </c>
      <c r="J56">
        <v>6.8191289901733398E-2</v>
      </c>
      <c r="K56">
        <v>32</v>
      </c>
      <c r="L56">
        <v>4.9801588058471701E-2</v>
      </c>
      <c r="M56">
        <v>0</v>
      </c>
      <c r="N56" t="s">
        <v>77</v>
      </c>
      <c r="O56">
        <f t="shared" si="5"/>
        <v>1.8389701843261698E-2</v>
      </c>
      <c r="P56">
        <f t="shared" si="6"/>
        <v>0.89473684210526316</v>
      </c>
      <c r="Q56" t="s">
        <v>21</v>
      </c>
    </row>
    <row r="57" spans="1:17" ht="15" customHeight="1" x14ac:dyDescent="0.3">
      <c r="A57">
        <v>5</v>
      </c>
      <c r="B57">
        <v>5</v>
      </c>
      <c r="C57">
        <v>61</v>
      </c>
      <c r="D57">
        <v>90</v>
      </c>
      <c r="E57">
        <v>370</v>
      </c>
      <c r="F57">
        <v>9.2380000000000004E-2</v>
      </c>
      <c r="G57">
        <v>6600</v>
      </c>
      <c r="H57">
        <v>2.22446918487549E-2</v>
      </c>
      <c r="I57">
        <v>6600</v>
      </c>
      <c r="J57">
        <v>8.42633247375488E-2</v>
      </c>
      <c r="K57">
        <v>20</v>
      </c>
      <c r="L57">
        <v>5.5247545242309598E-2</v>
      </c>
      <c r="M57">
        <v>0</v>
      </c>
      <c r="N57" t="s">
        <v>78</v>
      </c>
      <c r="O57">
        <f t="shared" si="5"/>
        <v>2.9015779495239202E-2</v>
      </c>
      <c r="P57">
        <f t="shared" si="6"/>
        <v>1</v>
      </c>
      <c r="Q57" t="s">
        <v>79</v>
      </c>
    </row>
    <row r="58" spans="1:17" ht="15" customHeight="1" x14ac:dyDescent="0.3">
      <c r="A58">
        <v>5</v>
      </c>
      <c r="B58">
        <v>6</v>
      </c>
      <c r="C58">
        <v>61</v>
      </c>
      <c r="D58">
        <v>74</v>
      </c>
      <c r="E58">
        <v>230</v>
      </c>
      <c r="F58">
        <v>8.5150000000000003E-2</v>
      </c>
      <c r="G58">
        <v>5400</v>
      </c>
      <c r="H58">
        <v>4.4555425643920898E-2</v>
      </c>
      <c r="I58">
        <v>4900</v>
      </c>
      <c r="J58">
        <v>6.2781810760498102E-2</v>
      </c>
      <c r="K58">
        <v>29</v>
      </c>
      <c r="L58">
        <v>4.4516801834106501E-2</v>
      </c>
      <c r="M58">
        <v>0</v>
      </c>
      <c r="N58" t="s">
        <v>80</v>
      </c>
      <c r="O58">
        <f t="shared" si="5"/>
        <v>1.8265008926391602E-2</v>
      </c>
      <c r="P58">
        <f t="shared" si="6"/>
        <v>0.90740740740740744</v>
      </c>
      <c r="Q58" t="s">
        <v>21</v>
      </c>
    </row>
    <row r="59" spans="1:17" ht="15" customHeight="1" x14ac:dyDescent="0.3">
      <c r="A59">
        <v>5</v>
      </c>
      <c r="B59">
        <v>7</v>
      </c>
      <c r="C59">
        <v>61</v>
      </c>
      <c r="D59">
        <v>59</v>
      </c>
      <c r="E59">
        <v>246</v>
      </c>
      <c r="F59">
        <v>0.14377999999999999</v>
      </c>
      <c r="G59">
        <v>4200</v>
      </c>
      <c r="H59">
        <v>5.1760435104370103E-2</v>
      </c>
      <c r="I59">
        <v>4000</v>
      </c>
      <c r="J59">
        <v>5.8381557464599602E-2</v>
      </c>
      <c r="K59">
        <v>23</v>
      </c>
      <c r="L59">
        <v>4.0194034576416002E-2</v>
      </c>
      <c r="M59">
        <v>0</v>
      </c>
      <c r="N59" t="s">
        <v>80</v>
      </c>
      <c r="O59">
        <f t="shared" si="5"/>
        <v>1.8187522888183601E-2</v>
      </c>
      <c r="P59">
        <f t="shared" si="6"/>
        <v>0.95238095238095233</v>
      </c>
      <c r="Q59" t="s">
        <v>21</v>
      </c>
    </row>
    <row r="60" spans="1:17" ht="15" customHeight="1" x14ac:dyDescent="0.3">
      <c r="A60">
        <v>5</v>
      </c>
      <c r="B60">
        <v>8</v>
      </c>
      <c r="C60">
        <v>61</v>
      </c>
      <c r="D60">
        <v>96</v>
      </c>
      <c r="E60">
        <v>477</v>
      </c>
      <c r="F60">
        <v>0.10460999999999999</v>
      </c>
      <c r="G60">
        <v>7200</v>
      </c>
      <c r="H60">
        <v>6.3352108001708998E-2</v>
      </c>
      <c r="I60">
        <v>6400</v>
      </c>
      <c r="J60">
        <v>6.5211534500122098E-2</v>
      </c>
      <c r="K60">
        <v>23</v>
      </c>
      <c r="L60">
        <v>4.0619134902954102E-2</v>
      </c>
      <c r="M60">
        <v>0</v>
      </c>
      <c r="N60" t="s">
        <v>81</v>
      </c>
      <c r="O60">
        <f t="shared" si="5"/>
        <v>2.4592399597167997E-2</v>
      </c>
      <c r="P60">
        <f t="shared" si="6"/>
        <v>0.88888888888888884</v>
      </c>
      <c r="Q60" t="s">
        <v>21</v>
      </c>
    </row>
    <row r="61" spans="1:17" ht="15" customHeight="1" x14ac:dyDescent="0.3">
      <c r="A61">
        <v>5</v>
      </c>
      <c r="B61">
        <v>9</v>
      </c>
      <c r="C61">
        <v>61</v>
      </c>
      <c r="D61">
        <v>80</v>
      </c>
      <c r="E61">
        <v>332</v>
      </c>
      <c r="F61">
        <v>0.10506</v>
      </c>
      <c r="G61">
        <v>6100</v>
      </c>
      <c r="H61">
        <v>4.1197538375854499E-2</v>
      </c>
      <c r="I61">
        <v>6100</v>
      </c>
      <c r="J61">
        <v>6.9621086120605497E-2</v>
      </c>
      <c r="K61">
        <v>24</v>
      </c>
      <c r="L61">
        <v>5.0240039825439502E-2</v>
      </c>
      <c r="M61">
        <v>0</v>
      </c>
      <c r="N61" t="s">
        <v>82</v>
      </c>
      <c r="O61">
        <f t="shared" si="5"/>
        <v>1.9381046295165995E-2</v>
      </c>
      <c r="P61">
        <f t="shared" si="6"/>
        <v>1</v>
      </c>
      <c r="Q61" t="s">
        <v>21</v>
      </c>
    </row>
    <row r="62" spans="1:17" ht="15" customHeight="1" x14ac:dyDescent="0.3">
      <c r="A62">
        <v>6</v>
      </c>
      <c r="B62">
        <v>0</v>
      </c>
      <c r="C62">
        <v>786</v>
      </c>
      <c r="D62">
        <v>949</v>
      </c>
      <c r="E62">
        <v>12248</v>
      </c>
      <c r="F62">
        <v>2.7230000000000001E-2</v>
      </c>
      <c r="G62">
        <v>60200</v>
      </c>
      <c r="H62">
        <v>0.41027784347534202</v>
      </c>
      <c r="I62">
        <v>58800</v>
      </c>
      <c r="J62">
        <v>0.62120294570922896</v>
      </c>
      <c r="K62">
        <v>251</v>
      </c>
      <c r="L62">
        <v>0.43737316131591802</v>
      </c>
      <c r="M62">
        <v>0</v>
      </c>
      <c r="N62" t="s">
        <v>83</v>
      </c>
      <c r="O62">
        <f t="shared" si="5"/>
        <v>0.18382978439331094</v>
      </c>
      <c r="P62">
        <f t="shared" si="6"/>
        <v>0.97674418604651159</v>
      </c>
      <c r="Q62" t="s">
        <v>21</v>
      </c>
    </row>
    <row r="63" spans="1:17" ht="15" customHeight="1" x14ac:dyDescent="0.3">
      <c r="A63">
        <v>6</v>
      </c>
      <c r="B63">
        <v>1</v>
      </c>
      <c r="C63">
        <v>786</v>
      </c>
      <c r="D63">
        <v>934</v>
      </c>
      <c r="E63">
        <v>11384</v>
      </c>
      <c r="F63">
        <v>2.613E-2</v>
      </c>
      <c r="G63">
        <v>60700</v>
      </c>
      <c r="H63">
        <v>0.178012609481812</v>
      </c>
      <c r="I63">
        <v>60100</v>
      </c>
      <c r="J63">
        <v>0.70371294021606501</v>
      </c>
      <c r="K63">
        <v>396</v>
      </c>
      <c r="L63">
        <v>0.51484155654907204</v>
      </c>
      <c r="M63">
        <v>0</v>
      </c>
      <c r="N63" t="s">
        <v>84</v>
      </c>
      <c r="O63">
        <f t="shared" si="5"/>
        <v>0.18887138366699296</v>
      </c>
      <c r="P63">
        <f t="shared" si="6"/>
        <v>0.99011532125205926</v>
      </c>
      <c r="Q63" t="s">
        <v>21</v>
      </c>
    </row>
    <row r="64" spans="1:17" ht="15" customHeight="1" x14ac:dyDescent="0.3">
      <c r="A64">
        <v>6</v>
      </c>
      <c r="B64">
        <v>2</v>
      </c>
      <c r="C64">
        <v>786</v>
      </c>
      <c r="D64">
        <v>1012</v>
      </c>
      <c r="E64">
        <v>10444</v>
      </c>
      <c r="F64">
        <v>2.0420000000000001E-2</v>
      </c>
      <c r="G64">
        <v>65400</v>
      </c>
      <c r="H64">
        <v>0.21467852592468301</v>
      </c>
      <c r="I64">
        <v>61300</v>
      </c>
      <c r="J64">
        <v>0.82336854934692405</v>
      </c>
      <c r="K64">
        <v>382</v>
      </c>
      <c r="L64">
        <v>0.58939552307128895</v>
      </c>
      <c r="M64">
        <v>0</v>
      </c>
      <c r="N64" t="s">
        <v>85</v>
      </c>
      <c r="O64">
        <f t="shared" si="5"/>
        <v>0.2339730262756351</v>
      </c>
      <c r="P64">
        <f t="shared" si="6"/>
        <v>0.93730886850152906</v>
      </c>
      <c r="Q64" t="s">
        <v>21</v>
      </c>
    </row>
    <row r="65" spans="1:17" ht="15" customHeight="1" x14ac:dyDescent="0.3">
      <c r="A65">
        <v>6</v>
      </c>
      <c r="B65">
        <v>3</v>
      </c>
      <c r="C65">
        <v>786</v>
      </c>
      <c r="D65">
        <v>961</v>
      </c>
      <c r="E65">
        <v>11106</v>
      </c>
      <c r="F65">
        <v>2.4080000000000001E-2</v>
      </c>
      <c r="G65">
        <v>61600</v>
      </c>
      <c r="H65">
        <v>0.180563449859619</v>
      </c>
      <c r="I65">
        <v>61000</v>
      </c>
      <c r="J65">
        <v>1.03348708152771</v>
      </c>
      <c r="K65">
        <v>563</v>
      </c>
      <c r="L65">
        <v>0.73006439208984397</v>
      </c>
      <c r="M65">
        <v>0</v>
      </c>
      <c r="N65" t="s">
        <v>86</v>
      </c>
      <c r="O65">
        <f t="shared" si="5"/>
        <v>0.30342268943786599</v>
      </c>
      <c r="P65">
        <f t="shared" si="6"/>
        <v>0.99025974025974028</v>
      </c>
      <c r="Q65" t="s">
        <v>21</v>
      </c>
    </row>
    <row r="66" spans="1:17" ht="15" customHeight="1" x14ac:dyDescent="0.3">
      <c r="A66">
        <v>6</v>
      </c>
      <c r="B66">
        <v>4</v>
      </c>
      <c r="C66">
        <v>786</v>
      </c>
      <c r="D66">
        <v>965</v>
      </c>
      <c r="E66">
        <v>10891</v>
      </c>
      <c r="F66">
        <v>2.341E-2</v>
      </c>
      <c r="G66">
        <v>64000</v>
      </c>
      <c r="H66">
        <v>0.26596283912658703</v>
      </c>
      <c r="I66">
        <v>61300</v>
      </c>
      <c r="J66">
        <v>0.97597956657409701</v>
      </c>
      <c r="K66">
        <v>560</v>
      </c>
      <c r="L66">
        <v>0.71917605400085505</v>
      </c>
      <c r="M66">
        <v>0</v>
      </c>
      <c r="N66" t="s">
        <v>87</v>
      </c>
      <c r="O66">
        <f t="shared" ref="O66:O101" si="7">J66-L66</f>
        <v>0.25680351257324197</v>
      </c>
      <c r="P66">
        <f t="shared" ref="P66:P101" si="8">I66/G66</f>
        <v>0.95781249999999996</v>
      </c>
      <c r="Q66" t="s">
        <v>21</v>
      </c>
    </row>
    <row r="67" spans="1:17" ht="15" customHeight="1" x14ac:dyDescent="0.3">
      <c r="A67">
        <v>6</v>
      </c>
      <c r="B67">
        <v>5</v>
      </c>
      <c r="C67">
        <v>786</v>
      </c>
      <c r="D67">
        <v>854</v>
      </c>
      <c r="E67">
        <v>9301</v>
      </c>
      <c r="F67">
        <v>2.554E-2</v>
      </c>
      <c r="G67">
        <v>56700</v>
      </c>
      <c r="H67">
        <v>0.22832369804382299</v>
      </c>
      <c r="I67">
        <v>55700</v>
      </c>
      <c r="J67">
        <v>0.66729474067687999</v>
      </c>
      <c r="K67">
        <v>344</v>
      </c>
      <c r="L67">
        <v>0.46078085899353</v>
      </c>
      <c r="M67">
        <v>0</v>
      </c>
      <c r="N67" t="s">
        <v>88</v>
      </c>
      <c r="O67">
        <f t="shared" si="7"/>
        <v>0.20651388168335</v>
      </c>
      <c r="P67">
        <f t="shared" si="8"/>
        <v>0.98236331569664903</v>
      </c>
      <c r="Q67" t="s">
        <v>89</v>
      </c>
    </row>
    <row r="68" spans="1:17" ht="15" customHeight="1" x14ac:dyDescent="0.3">
      <c r="A68">
        <v>6</v>
      </c>
      <c r="B68">
        <v>6</v>
      </c>
      <c r="C68">
        <v>786</v>
      </c>
      <c r="D68">
        <v>934</v>
      </c>
      <c r="E68">
        <v>9969</v>
      </c>
      <c r="F68">
        <v>2.2880000000000001E-2</v>
      </c>
      <c r="G68">
        <v>61200</v>
      </c>
      <c r="H68">
        <v>0.187280893325806</v>
      </c>
      <c r="I68">
        <v>58900</v>
      </c>
      <c r="J68">
        <v>0.69941186904907204</v>
      </c>
      <c r="K68">
        <v>382</v>
      </c>
      <c r="L68">
        <v>0.51500868797302302</v>
      </c>
      <c r="M68">
        <v>0</v>
      </c>
      <c r="N68" t="s">
        <v>90</v>
      </c>
      <c r="O68">
        <f t="shared" si="7"/>
        <v>0.18440318107604903</v>
      </c>
      <c r="P68">
        <f t="shared" si="8"/>
        <v>0.96241830065359479</v>
      </c>
      <c r="Q68" t="s">
        <v>21</v>
      </c>
    </row>
    <row r="69" spans="1:17" ht="15" customHeight="1" x14ac:dyDescent="0.3">
      <c r="A69">
        <v>6</v>
      </c>
      <c r="B69">
        <v>7</v>
      </c>
      <c r="C69">
        <v>786</v>
      </c>
      <c r="D69">
        <v>941</v>
      </c>
      <c r="E69">
        <v>11248</v>
      </c>
      <c r="F69">
        <v>2.5430000000000001E-2</v>
      </c>
      <c r="G69">
        <v>59800</v>
      </c>
      <c r="H69">
        <v>0.26804304122924799</v>
      </c>
      <c r="I69">
        <v>55100</v>
      </c>
      <c r="J69">
        <v>0.63802981376648005</v>
      </c>
      <c r="K69">
        <v>273</v>
      </c>
      <c r="L69">
        <v>0.44932794570922902</v>
      </c>
      <c r="M69">
        <v>0</v>
      </c>
      <c r="N69" t="s">
        <v>91</v>
      </c>
      <c r="O69">
        <f t="shared" si="7"/>
        <v>0.18870186805725103</v>
      </c>
      <c r="P69">
        <f t="shared" si="8"/>
        <v>0.92140468227424754</v>
      </c>
      <c r="Q69" t="s">
        <v>21</v>
      </c>
    </row>
    <row r="70" spans="1:17" ht="15" customHeight="1" x14ac:dyDescent="0.3">
      <c r="A70">
        <v>6</v>
      </c>
      <c r="B70">
        <v>8</v>
      </c>
      <c r="C70">
        <v>786</v>
      </c>
      <c r="D70">
        <v>931</v>
      </c>
      <c r="E70">
        <v>11970</v>
      </c>
      <c r="F70">
        <v>2.7650000000000001E-2</v>
      </c>
      <c r="G70">
        <v>60900</v>
      </c>
      <c r="H70">
        <v>0.24707555770874001</v>
      </c>
      <c r="I70">
        <v>59500</v>
      </c>
      <c r="J70">
        <v>1.4056799411773699</v>
      </c>
      <c r="K70">
        <v>760</v>
      </c>
      <c r="L70">
        <v>1.00042176246643</v>
      </c>
      <c r="M70">
        <v>0</v>
      </c>
      <c r="N70" t="s">
        <v>92</v>
      </c>
      <c r="O70">
        <f t="shared" si="7"/>
        <v>0.40525817871093994</v>
      </c>
      <c r="P70">
        <f t="shared" si="8"/>
        <v>0.97701149425287359</v>
      </c>
      <c r="Q70" t="s">
        <v>21</v>
      </c>
    </row>
    <row r="71" spans="1:17" ht="15" customHeight="1" x14ac:dyDescent="0.3">
      <c r="A71">
        <v>6</v>
      </c>
      <c r="B71">
        <v>9</v>
      </c>
      <c r="C71">
        <v>786</v>
      </c>
      <c r="D71">
        <v>924</v>
      </c>
      <c r="E71">
        <v>9806</v>
      </c>
      <c r="F71">
        <v>2.3E-2</v>
      </c>
      <c r="G71">
        <v>61200</v>
      </c>
      <c r="H71">
        <v>0.15878748893737801</v>
      </c>
      <c r="I71">
        <v>57700</v>
      </c>
      <c r="J71">
        <v>1.07371354103088</v>
      </c>
      <c r="K71">
        <v>554</v>
      </c>
      <c r="L71">
        <v>0.75767898559570301</v>
      </c>
      <c r="M71">
        <v>0</v>
      </c>
      <c r="N71" t="s">
        <v>93</v>
      </c>
      <c r="O71">
        <f t="shared" si="7"/>
        <v>0.316034555435177</v>
      </c>
      <c r="P71">
        <f t="shared" si="8"/>
        <v>0.94281045751633985</v>
      </c>
      <c r="Q71" t="s">
        <v>21</v>
      </c>
    </row>
    <row r="72" spans="1:17" ht="15" customHeight="1" x14ac:dyDescent="0.3">
      <c r="A72">
        <v>7</v>
      </c>
      <c r="B72">
        <v>0</v>
      </c>
      <c r="C72">
        <v>747</v>
      </c>
      <c r="D72">
        <v>922</v>
      </c>
      <c r="E72">
        <v>22571</v>
      </c>
      <c r="F72">
        <v>5.3159999999999999E-2</v>
      </c>
      <c r="G72">
        <v>57700</v>
      </c>
      <c r="H72">
        <v>1.6382534503936801</v>
      </c>
      <c r="I72">
        <v>53400</v>
      </c>
      <c r="J72">
        <v>0.75767493247985795</v>
      </c>
      <c r="K72">
        <v>350</v>
      </c>
      <c r="L72">
        <v>0.54323935508728005</v>
      </c>
      <c r="M72">
        <v>0</v>
      </c>
      <c r="N72" t="s">
        <v>94</v>
      </c>
      <c r="O72">
        <f t="shared" si="7"/>
        <v>0.2144355773925779</v>
      </c>
      <c r="P72">
        <f t="shared" si="8"/>
        <v>0.92547660311958402</v>
      </c>
      <c r="Q72" t="s">
        <v>21</v>
      </c>
    </row>
    <row r="73" spans="1:17" ht="15" customHeight="1" x14ac:dyDescent="0.3">
      <c r="A73">
        <v>7</v>
      </c>
      <c r="B73">
        <v>1</v>
      </c>
      <c r="C73">
        <v>747</v>
      </c>
      <c r="D73">
        <v>1002</v>
      </c>
      <c r="E73">
        <v>28356</v>
      </c>
      <c r="F73">
        <v>5.654E-2</v>
      </c>
      <c r="G73">
        <v>62400</v>
      </c>
      <c r="H73">
        <v>3.2756204605102499</v>
      </c>
      <c r="I73">
        <v>61400</v>
      </c>
      <c r="J73">
        <v>0.74700021743774403</v>
      </c>
      <c r="K73">
        <v>423</v>
      </c>
      <c r="L73">
        <v>0.54036450386047397</v>
      </c>
      <c r="M73">
        <v>0</v>
      </c>
      <c r="N73" t="s">
        <v>95</v>
      </c>
      <c r="O73">
        <f t="shared" si="7"/>
        <v>0.20663571357727006</v>
      </c>
      <c r="P73">
        <f t="shared" si="8"/>
        <v>0.98397435897435892</v>
      </c>
      <c r="Q73" t="s">
        <v>21</v>
      </c>
    </row>
    <row r="74" spans="1:17" ht="15" customHeight="1" x14ac:dyDescent="0.3">
      <c r="A74">
        <v>7</v>
      </c>
      <c r="B74">
        <v>2</v>
      </c>
      <c r="C74">
        <v>747</v>
      </c>
      <c r="D74">
        <v>852</v>
      </c>
      <c r="E74">
        <v>20906</v>
      </c>
      <c r="F74">
        <v>5.7669999999999999E-2</v>
      </c>
      <c r="G74">
        <v>55700</v>
      </c>
      <c r="H74">
        <v>1.5751090049743699</v>
      </c>
      <c r="I74">
        <v>54100</v>
      </c>
      <c r="J74">
        <v>0.62323665618896495</v>
      </c>
      <c r="K74">
        <v>355</v>
      </c>
      <c r="L74">
        <v>0.452908515930176</v>
      </c>
      <c r="M74">
        <v>0</v>
      </c>
      <c r="N74" t="s">
        <v>96</v>
      </c>
      <c r="O74">
        <f t="shared" si="7"/>
        <v>0.17032814025878895</v>
      </c>
      <c r="P74">
        <f t="shared" si="8"/>
        <v>0.97127468581687615</v>
      </c>
      <c r="Q74" t="s">
        <v>21</v>
      </c>
    </row>
    <row r="75" spans="1:17" ht="15" customHeight="1" x14ac:dyDescent="0.3">
      <c r="A75">
        <v>7</v>
      </c>
      <c r="B75">
        <v>3</v>
      </c>
      <c r="C75">
        <v>747</v>
      </c>
      <c r="D75">
        <v>963</v>
      </c>
      <c r="E75">
        <v>24393</v>
      </c>
      <c r="F75">
        <v>5.2659999999999998E-2</v>
      </c>
      <c r="G75">
        <v>59800</v>
      </c>
      <c r="H75">
        <v>2.1308240890502899</v>
      </c>
      <c r="I75">
        <v>56500</v>
      </c>
      <c r="J75">
        <v>0.51466464996337902</v>
      </c>
      <c r="K75">
        <v>244</v>
      </c>
      <c r="L75">
        <v>0.37415480613708502</v>
      </c>
      <c r="M75">
        <v>0</v>
      </c>
      <c r="N75" t="s">
        <v>97</v>
      </c>
      <c r="O75">
        <f t="shared" si="7"/>
        <v>0.140509843826294</v>
      </c>
      <c r="P75">
        <f t="shared" si="8"/>
        <v>0.94481605351170572</v>
      </c>
      <c r="Q75" t="s">
        <v>21</v>
      </c>
    </row>
    <row r="76" spans="1:17" ht="15" customHeight="1" x14ac:dyDescent="0.3">
      <c r="A76">
        <v>7</v>
      </c>
      <c r="B76">
        <v>4</v>
      </c>
      <c r="C76">
        <v>747</v>
      </c>
      <c r="D76">
        <v>948</v>
      </c>
      <c r="E76">
        <v>24490</v>
      </c>
      <c r="F76">
        <v>5.4559999999999997E-2</v>
      </c>
      <c r="G76">
        <v>57100</v>
      </c>
      <c r="H76">
        <v>2.6619751453399698</v>
      </c>
      <c r="I76">
        <v>56000</v>
      </c>
      <c r="J76">
        <v>0.35278344154357899</v>
      </c>
      <c r="K76">
        <v>184</v>
      </c>
      <c r="L76">
        <v>0.25008225440978998</v>
      </c>
      <c r="M76">
        <v>0</v>
      </c>
      <c r="N76" t="s">
        <v>98</v>
      </c>
      <c r="O76">
        <f t="shared" si="7"/>
        <v>0.10270118713378901</v>
      </c>
      <c r="P76">
        <f t="shared" si="8"/>
        <v>0.98073555166374782</v>
      </c>
      <c r="Q76" t="s">
        <v>21</v>
      </c>
    </row>
    <row r="77" spans="1:17" ht="15" customHeight="1" x14ac:dyDescent="0.3">
      <c r="A77">
        <v>7</v>
      </c>
      <c r="B77">
        <v>5</v>
      </c>
      <c r="C77">
        <v>747</v>
      </c>
      <c r="D77">
        <v>929</v>
      </c>
      <c r="E77">
        <v>25215</v>
      </c>
      <c r="F77">
        <v>5.8500000000000003E-2</v>
      </c>
      <c r="G77">
        <v>58800</v>
      </c>
      <c r="H77">
        <v>2.3390312194824201</v>
      </c>
      <c r="I77">
        <v>57500</v>
      </c>
      <c r="J77">
        <v>0.76106739044189498</v>
      </c>
      <c r="K77">
        <v>358</v>
      </c>
      <c r="L77">
        <v>0.50644183158874501</v>
      </c>
      <c r="M77">
        <v>0</v>
      </c>
      <c r="N77" t="s">
        <v>99</v>
      </c>
      <c r="O77">
        <f t="shared" si="7"/>
        <v>0.25462555885314997</v>
      </c>
      <c r="P77">
        <f t="shared" si="8"/>
        <v>0.97789115646258506</v>
      </c>
      <c r="Q77" t="s">
        <v>100</v>
      </c>
    </row>
    <row r="78" spans="1:17" ht="15" customHeight="1" x14ac:dyDescent="0.3">
      <c r="A78">
        <v>7</v>
      </c>
      <c r="B78">
        <v>6</v>
      </c>
      <c r="C78">
        <v>747</v>
      </c>
      <c r="D78">
        <v>883</v>
      </c>
      <c r="E78">
        <v>20075</v>
      </c>
      <c r="F78">
        <v>5.1549999999999999E-2</v>
      </c>
      <c r="G78">
        <v>58200</v>
      </c>
      <c r="H78">
        <v>0.60593962669372603</v>
      </c>
      <c r="I78">
        <v>56200</v>
      </c>
      <c r="J78">
        <v>1.02981209754944</v>
      </c>
      <c r="K78">
        <v>508</v>
      </c>
      <c r="L78">
        <v>0.71562695503234897</v>
      </c>
      <c r="M78">
        <v>0</v>
      </c>
      <c r="N78" t="s">
        <v>101</v>
      </c>
      <c r="O78">
        <f t="shared" si="7"/>
        <v>0.31418514251709106</v>
      </c>
      <c r="P78">
        <f t="shared" si="8"/>
        <v>0.96563573883161513</v>
      </c>
      <c r="Q78" t="s">
        <v>21</v>
      </c>
    </row>
    <row r="79" spans="1:17" ht="15" customHeight="1" x14ac:dyDescent="0.3">
      <c r="A79">
        <v>7</v>
      </c>
      <c r="B79">
        <v>7</v>
      </c>
      <c r="C79">
        <v>747</v>
      </c>
      <c r="D79">
        <v>823</v>
      </c>
      <c r="E79">
        <v>17486</v>
      </c>
      <c r="F79">
        <v>5.1700000000000003E-2</v>
      </c>
      <c r="G79">
        <v>51900</v>
      </c>
      <c r="H79">
        <v>1.0008864402771001</v>
      </c>
      <c r="I79">
        <v>51600</v>
      </c>
      <c r="J79">
        <v>0.63777112960815396</v>
      </c>
      <c r="K79">
        <v>332</v>
      </c>
      <c r="L79">
        <v>0.43104457855224598</v>
      </c>
      <c r="M79">
        <v>0</v>
      </c>
      <c r="N79" t="s">
        <v>102</v>
      </c>
      <c r="O79">
        <f t="shared" si="7"/>
        <v>0.20672655105590798</v>
      </c>
      <c r="P79">
        <f t="shared" si="8"/>
        <v>0.9942196531791907</v>
      </c>
      <c r="Q79" t="s">
        <v>21</v>
      </c>
    </row>
    <row r="80" spans="1:17" ht="15" customHeight="1" x14ac:dyDescent="0.3">
      <c r="A80">
        <v>7</v>
      </c>
      <c r="B80">
        <v>8</v>
      </c>
      <c r="C80">
        <v>747</v>
      </c>
      <c r="D80">
        <v>845</v>
      </c>
      <c r="E80">
        <v>19503</v>
      </c>
      <c r="F80">
        <v>5.4690000000000003E-2</v>
      </c>
      <c r="G80">
        <v>55200</v>
      </c>
      <c r="H80">
        <v>0.649120092391968</v>
      </c>
      <c r="I80">
        <v>54200</v>
      </c>
      <c r="J80">
        <v>0.52310967445373502</v>
      </c>
      <c r="K80">
        <v>344</v>
      </c>
      <c r="L80">
        <v>0.37993192672729498</v>
      </c>
      <c r="M80">
        <v>0</v>
      </c>
      <c r="N80" t="s">
        <v>103</v>
      </c>
      <c r="O80">
        <f t="shared" si="7"/>
        <v>0.14317774772644004</v>
      </c>
      <c r="P80">
        <f t="shared" si="8"/>
        <v>0.98188405797101452</v>
      </c>
      <c r="Q80" t="s">
        <v>21</v>
      </c>
    </row>
    <row r="81" spans="1:17" ht="15" customHeight="1" x14ac:dyDescent="0.3">
      <c r="A81">
        <v>7</v>
      </c>
      <c r="B81">
        <v>9</v>
      </c>
      <c r="C81">
        <v>747</v>
      </c>
      <c r="D81">
        <v>889</v>
      </c>
      <c r="E81">
        <v>21577</v>
      </c>
      <c r="F81">
        <v>5.466E-2</v>
      </c>
      <c r="G81">
        <v>57500</v>
      </c>
      <c r="H81">
        <v>0.77361249923706099</v>
      </c>
      <c r="I81">
        <v>57300</v>
      </c>
      <c r="J81">
        <v>0.73927092552185103</v>
      </c>
      <c r="K81">
        <v>368</v>
      </c>
      <c r="L81">
        <v>0.493480443954468</v>
      </c>
      <c r="M81">
        <v>0</v>
      </c>
      <c r="N81" t="s">
        <v>104</v>
      </c>
      <c r="O81">
        <f t="shared" si="7"/>
        <v>0.24579048156738303</v>
      </c>
      <c r="P81">
        <f t="shared" si="8"/>
        <v>0.99652173913043474</v>
      </c>
      <c r="Q81" t="s">
        <v>21</v>
      </c>
    </row>
    <row r="82" spans="1:17" ht="15" customHeight="1" x14ac:dyDescent="0.3">
      <c r="A82">
        <v>8</v>
      </c>
      <c r="B82">
        <v>0</v>
      </c>
      <c r="C82">
        <v>534</v>
      </c>
      <c r="D82">
        <v>639</v>
      </c>
      <c r="E82">
        <v>4208</v>
      </c>
      <c r="F82">
        <v>2.0639999999999999E-2</v>
      </c>
      <c r="G82">
        <v>44100</v>
      </c>
      <c r="H82">
        <v>0.108830451965332</v>
      </c>
      <c r="I82">
        <v>42100</v>
      </c>
      <c r="J82">
        <v>0.73413610458374001</v>
      </c>
      <c r="K82">
        <v>384</v>
      </c>
      <c r="L82">
        <v>0.51916432380676303</v>
      </c>
      <c r="M82">
        <v>0</v>
      </c>
      <c r="N82" t="s">
        <v>105</v>
      </c>
      <c r="O82">
        <f t="shared" si="7"/>
        <v>0.21497178077697698</v>
      </c>
      <c r="P82">
        <f t="shared" si="8"/>
        <v>0.95464852607709749</v>
      </c>
      <c r="Q82" t="s">
        <v>21</v>
      </c>
    </row>
    <row r="83" spans="1:17" ht="15" customHeight="1" x14ac:dyDescent="0.3">
      <c r="A83">
        <v>8</v>
      </c>
      <c r="B83">
        <v>1</v>
      </c>
      <c r="C83">
        <v>534</v>
      </c>
      <c r="D83">
        <v>571</v>
      </c>
      <c r="E83">
        <v>3971</v>
      </c>
      <c r="F83">
        <v>2.4400000000000002E-2</v>
      </c>
      <c r="G83">
        <v>38300</v>
      </c>
      <c r="H83">
        <v>0.141983032226563</v>
      </c>
      <c r="I83">
        <v>36800</v>
      </c>
      <c r="J83">
        <v>0.43981981277465798</v>
      </c>
      <c r="K83">
        <v>240</v>
      </c>
      <c r="L83">
        <v>0.326982021331787</v>
      </c>
      <c r="M83">
        <v>0</v>
      </c>
      <c r="N83" t="s">
        <v>106</v>
      </c>
      <c r="O83">
        <f t="shared" si="7"/>
        <v>0.11283779144287098</v>
      </c>
      <c r="P83">
        <f t="shared" si="8"/>
        <v>0.96083550913838123</v>
      </c>
      <c r="Q83" t="s">
        <v>21</v>
      </c>
    </row>
    <row r="84" spans="1:17" ht="15" customHeight="1" x14ac:dyDescent="0.3">
      <c r="A84">
        <v>8</v>
      </c>
      <c r="B84">
        <v>2</v>
      </c>
      <c r="C84">
        <v>534</v>
      </c>
      <c r="D84">
        <v>698</v>
      </c>
      <c r="E84">
        <v>5293</v>
      </c>
      <c r="F84">
        <v>2.1760000000000002E-2</v>
      </c>
      <c r="G84">
        <v>47900</v>
      </c>
      <c r="H84">
        <v>0.108773946762085</v>
      </c>
      <c r="I84">
        <v>45200</v>
      </c>
      <c r="J84">
        <v>0.52856397628784202</v>
      </c>
      <c r="K84">
        <v>232</v>
      </c>
      <c r="L84">
        <v>0.390452861785889</v>
      </c>
      <c r="M84">
        <v>0</v>
      </c>
      <c r="N84" t="s">
        <v>107</v>
      </c>
      <c r="O84">
        <f t="shared" si="7"/>
        <v>0.13811111450195301</v>
      </c>
      <c r="P84">
        <f t="shared" si="8"/>
        <v>0.94363256784968685</v>
      </c>
      <c r="Q84" t="s">
        <v>21</v>
      </c>
    </row>
    <row r="85" spans="1:17" ht="15" customHeight="1" x14ac:dyDescent="0.3">
      <c r="A85">
        <v>8</v>
      </c>
      <c r="B85">
        <v>3</v>
      </c>
      <c r="C85">
        <v>534</v>
      </c>
      <c r="D85">
        <v>700</v>
      </c>
      <c r="E85">
        <v>4828</v>
      </c>
      <c r="F85">
        <v>1.9730000000000001E-2</v>
      </c>
      <c r="G85">
        <v>50300</v>
      </c>
      <c r="H85">
        <v>0.140195608139038</v>
      </c>
      <c r="I85">
        <v>49000</v>
      </c>
      <c r="J85">
        <v>0.50597906112670898</v>
      </c>
      <c r="K85">
        <v>226</v>
      </c>
      <c r="L85">
        <v>0.36709403991699202</v>
      </c>
      <c r="M85">
        <v>0</v>
      </c>
      <c r="N85" t="s">
        <v>108</v>
      </c>
      <c r="O85">
        <f t="shared" si="7"/>
        <v>0.13888502120971696</v>
      </c>
      <c r="P85">
        <f t="shared" si="8"/>
        <v>0.97415506958250497</v>
      </c>
      <c r="Q85" t="s">
        <v>21</v>
      </c>
    </row>
    <row r="86" spans="1:17" ht="15" customHeight="1" x14ac:dyDescent="0.3">
      <c r="A86">
        <v>8</v>
      </c>
      <c r="B86">
        <v>4</v>
      </c>
      <c r="C86">
        <v>534</v>
      </c>
      <c r="D86">
        <v>613</v>
      </c>
      <c r="E86">
        <v>3902</v>
      </c>
      <c r="F86">
        <v>2.0799999999999999E-2</v>
      </c>
      <c r="G86">
        <v>41900</v>
      </c>
      <c r="H86">
        <v>0.10175752639770499</v>
      </c>
      <c r="I86">
        <v>39500</v>
      </c>
      <c r="J86">
        <v>0.58305072784423795</v>
      </c>
      <c r="K86">
        <v>220</v>
      </c>
      <c r="L86">
        <v>0.42924714088439903</v>
      </c>
      <c r="M86">
        <v>0</v>
      </c>
      <c r="N86" t="s">
        <v>109</v>
      </c>
      <c r="O86">
        <f t="shared" si="7"/>
        <v>0.15380358695983892</v>
      </c>
      <c r="P86">
        <f t="shared" si="8"/>
        <v>0.94272076372315039</v>
      </c>
      <c r="Q86" t="s">
        <v>21</v>
      </c>
    </row>
    <row r="87" spans="1:17" ht="15" customHeight="1" x14ac:dyDescent="0.3">
      <c r="A87">
        <v>8</v>
      </c>
      <c r="B87">
        <v>5</v>
      </c>
      <c r="C87">
        <v>534</v>
      </c>
      <c r="D87">
        <v>665</v>
      </c>
      <c r="E87">
        <v>4271</v>
      </c>
      <c r="F87">
        <v>1.9349999999999999E-2</v>
      </c>
      <c r="G87">
        <v>47200</v>
      </c>
      <c r="H87">
        <v>0.13425946235656699</v>
      </c>
      <c r="I87">
        <v>45100</v>
      </c>
      <c r="J87">
        <v>0.74962019920349099</v>
      </c>
      <c r="K87">
        <v>316</v>
      </c>
      <c r="L87">
        <v>0.55053448677062999</v>
      </c>
      <c r="M87">
        <v>0</v>
      </c>
      <c r="N87" t="s">
        <v>110</v>
      </c>
      <c r="O87">
        <f t="shared" si="7"/>
        <v>0.199085712432861</v>
      </c>
      <c r="P87">
        <f t="shared" si="8"/>
        <v>0.95550847457627119</v>
      </c>
      <c r="Q87" t="s">
        <v>111</v>
      </c>
    </row>
    <row r="88" spans="1:17" ht="15" customHeight="1" x14ac:dyDescent="0.3">
      <c r="A88">
        <v>8</v>
      </c>
      <c r="B88">
        <v>6</v>
      </c>
      <c r="C88">
        <v>534</v>
      </c>
      <c r="D88">
        <v>671</v>
      </c>
      <c r="E88">
        <v>4383</v>
      </c>
      <c r="F88">
        <v>1.95E-2</v>
      </c>
      <c r="G88">
        <v>46300</v>
      </c>
      <c r="H88">
        <v>0.14325070381164601</v>
      </c>
      <c r="I88">
        <v>41800</v>
      </c>
      <c r="J88">
        <v>0.52105474472045898</v>
      </c>
      <c r="K88">
        <v>281</v>
      </c>
      <c r="L88">
        <v>0.38666582107544001</v>
      </c>
      <c r="M88">
        <v>0</v>
      </c>
      <c r="N88" t="s">
        <v>112</v>
      </c>
      <c r="O88">
        <f t="shared" si="7"/>
        <v>0.13438892364501898</v>
      </c>
      <c r="P88">
        <f t="shared" si="8"/>
        <v>0.90280777537796975</v>
      </c>
      <c r="Q88" t="s">
        <v>21</v>
      </c>
    </row>
    <row r="89" spans="1:17" ht="15" customHeight="1" x14ac:dyDescent="0.3">
      <c r="A89">
        <v>8</v>
      </c>
      <c r="B89">
        <v>7</v>
      </c>
      <c r="C89">
        <v>534</v>
      </c>
      <c r="D89">
        <v>592</v>
      </c>
      <c r="E89">
        <v>3826</v>
      </c>
      <c r="F89">
        <v>2.1870000000000001E-2</v>
      </c>
      <c r="G89">
        <v>41600</v>
      </c>
      <c r="H89">
        <v>0.123250722885132</v>
      </c>
      <c r="I89">
        <v>39200</v>
      </c>
      <c r="J89">
        <v>0.48293137550353998</v>
      </c>
      <c r="K89">
        <v>245</v>
      </c>
      <c r="L89">
        <v>0.35391092300415</v>
      </c>
      <c r="M89">
        <v>0</v>
      </c>
      <c r="N89" t="s">
        <v>113</v>
      </c>
      <c r="O89">
        <f t="shared" si="7"/>
        <v>0.12902045249938998</v>
      </c>
      <c r="P89">
        <f t="shared" si="8"/>
        <v>0.94230769230769229</v>
      </c>
      <c r="Q89" t="s">
        <v>21</v>
      </c>
    </row>
    <row r="90" spans="1:17" ht="15" customHeight="1" x14ac:dyDescent="0.3">
      <c r="A90">
        <v>8</v>
      </c>
      <c r="B90">
        <v>8</v>
      </c>
      <c r="C90">
        <v>534</v>
      </c>
      <c r="D90">
        <v>711</v>
      </c>
      <c r="E90">
        <v>5774</v>
      </c>
      <c r="F90">
        <v>2.2880000000000001E-2</v>
      </c>
      <c r="G90">
        <v>46900</v>
      </c>
      <c r="H90">
        <v>0.161601543426514</v>
      </c>
      <c r="I90">
        <v>44200</v>
      </c>
      <c r="J90">
        <v>0.59972977638244596</v>
      </c>
      <c r="K90">
        <v>247</v>
      </c>
      <c r="L90">
        <v>0.44724726676940901</v>
      </c>
      <c r="M90">
        <v>0</v>
      </c>
      <c r="N90" t="s">
        <v>114</v>
      </c>
      <c r="O90">
        <f t="shared" si="7"/>
        <v>0.15248250961303694</v>
      </c>
      <c r="P90">
        <f t="shared" si="8"/>
        <v>0.94243070362473347</v>
      </c>
      <c r="Q90" t="s">
        <v>21</v>
      </c>
    </row>
    <row r="91" spans="1:17" ht="15" customHeight="1" x14ac:dyDescent="0.3">
      <c r="A91">
        <v>8</v>
      </c>
      <c r="B91">
        <v>9</v>
      </c>
      <c r="C91">
        <v>534</v>
      </c>
      <c r="D91">
        <v>639</v>
      </c>
      <c r="E91">
        <v>4342</v>
      </c>
      <c r="F91">
        <v>2.1299999999999999E-2</v>
      </c>
      <c r="G91">
        <v>44200</v>
      </c>
      <c r="H91">
        <v>0.104135274887085</v>
      </c>
      <c r="I91">
        <v>40600</v>
      </c>
      <c r="J91">
        <v>0.44353103637695301</v>
      </c>
      <c r="K91">
        <v>245</v>
      </c>
      <c r="L91">
        <v>0.328115224838257</v>
      </c>
      <c r="M91">
        <v>0</v>
      </c>
      <c r="N91" t="s">
        <v>115</v>
      </c>
      <c r="O91">
        <f t="shared" si="7"/>
        <v>0.11541581153869601</v>
      </c>
      <c r="P91">
        <f t="shared" si="8"/>
        <v>0.91855203619909498</v>
      </c>
      <c r="Q91" t="s">
        <v>21</v>
      </c>
    </row>
    <row r="92" spans="1:17" ht="15" customHeight="1" x14ac:dyDescent="0.3">
      <c r="A92">
        <v>9</v>
      </c>
      <c r="B92">
        <v>0</v>
      </c>
      <c r="C92">
        <v>52</v>
      </c>
      <c r="D92">
        <v>59</v>
      </c>
      <c r="E92">
        <v>186</v>
      </c>
      <c r="F92">
        <v>0.10871</v>
      </c>
      <c r="G92">
        <v>4900</v>
      </c>
      <c r="H92">
        <v>3.7161588668823201E-2</v>
      </c>
      <c r="I92">
        <v>4800</v>
      </c>
      <c r="J92">
        <v>5.1610708236694301E-2</v>
      </c>
      <c r="K92">
        <v>20</v>
      </c>
      <c r="L92">
        <v>3.8494825363159201E-2</v>
      </c>
      <c r="M92">
        <v>0</v>
      </c>
      <c r="N92" t="s">
        <v>116</v>
      </c>
      <c r="O92">
        <f t="shared" si="7"/>
        <v>1.3115882873535101E-2</v>
      </c>
      <c r="P92">
        <f t="shared" si="8"/>
        <v>0.97959183673469385</v>
      </c>
      <c r="Q92" t="s">
        <v>21</v>
      </c>
    </row>
    <row r="93" spans="1:17" ht="15" customHeight="1" x14ac:dyDescent="0.3">
      <c r="A93">
        <v>9</v>
      </c>
      <c r="B93">
        <v>1</v>
      </c>
      <c r="C93">
        <v>52</v>
      </c>
      <c r="D93">
        <v>68</v>
      </c>
      <c r="E93">
        <v>187</v>
      </c>
      <c r="F93">
        <v>8.2089999999999996E-2</v>
      </c>
      <c r="G93">
        <v>4800</v>
      </c>
      <c r="H93">
        <v>3.6156177520752002E-2</v>
      </c>
      <c r="I93">
        <v>4500</v>
      </c>
      <c r="J93">
        <v>8.0253124237060602E-2</v>
      </c>
      <c r="K93">
        <v>37</v>
      </c>
      <c r="L93">
        <v>5.5025100708007799E-2</v>
      </c>
      <c r="M93">
        <v>0</v>
      </c>
      <c r="N93" t="s">
        <v>116</v>
      </c>
      <c r="O93">
        <f t="shared" si="7"/>
        <v>2.5228023529052804E-2</v>
      </c>
      <c r="P93">
        <f t="shared" si="8"/>
        <v>0.9375</v>
      </c>
      <c r="Q93" t="s">
        <v>21</v>
      </c>
    </row>
    <row r="94" spans="1:17" ht="15" customHeight="1" x14ac:dyDescent="0.3">
      <c r="A94">
        <v>9</v>
      </c>
      <c r="B94">
        <v>2</v>
      </c>
      <c r="C94">
        <v>52</v>
      </c>
      <c r="D94">
        <v>85</v>
      </c>
      <c r="E94">
        <v>425</v>
      </c>
      <c r="F94">
        <v>0.11905</v>
      </c>
      <c r="G94">
        <v>6400</v>
      </c>
      <c r="H94">
        <v>4.8164129257202197E-2</v>
      </c>
      <c r="I94">
        <v>6000</v>
      </c>
      <c r="J94">
        <v>6.5644741058349595E-2</v>
      </c>
      <c r="K94">
        <v>20</v>
      </c>
      <c r="L94">
        <v>4.9621105194091797E-2</v>
      </c>
      <c r="M94">
        <v>0</v>
      </c>
      <c r="N94" t="s">
        <v>117</v>
      </c>
      <c r="O94">
        <f t="shared" si="7"/>
        <v>1.6023635864257799E-2</v>
      </c>
      <c r="P94">
        <f t="shared" si="8"/>
        <v>0.9375</v>
      </c>
      <c r="Q94" t="s">
        <v>21</v>
      </c>
    </row>
    <row r="95" spans="1:17" ht="15" customHeight="1" x14ac:dyDescent="0.3">
      <c r="A95">
        <v>9</v>
      </c>
      <c r="B95">
        <v>3</v>
      </c>
      <c r="C95">
        <v>52</v>
      </c>
      <c r="D95">
        <v>44</v>
      </c>
      <c r="E95">
        <v>60</v>
      </c>
      <c r="F95">
        <v>6.3420000000000004E-2</v>
      </c>
      <c r="G95">
        <v>3900</v>
      </c>
      <c r="H95">
        <v>3.5932779312133803E-2</v>
      </c>
      <c r="I95">
        <v>3800</v>
      </c>
      <c r="J95">
        <v>6.5582752227783203E-2</v>
      </c>
      <c r="K95">
        <v>25</v>
      </c>
      <c r="L95">
        <v>4.4899463653564502E-2</v>
      </c>
      <c r="M95">
        <v>0</v>
      </c>
      <c r="N95" t="s">
        <v>118</v>
      </c>
      <c r="O95">
        <f t="shared" si="7"/>
        <v>2.0683288574218701E-2</v>
      </c>
      <c r="P95">
        <f t="shared" si="8"/>
        <v>0.97435897435897434</v>
      </c>
      <c r="Q95" t="s">
        <v>21</v>
      </c>
    </row>
    <row r="96" spans="1:17" ht="15" customHeight="1" x14ac:dyDescent="0.3">
      <c r="A96">
        <v>9</v>
      </c>
      <c r="B96">
        <v>4</v>
      </c>
      <c r="C96">
        <v>52</v>
      </c>
      <c r="D96">
        <v>70</v>
      </c>
      <c r="E96">
        <v>238</v>
      </c>
      <c r="F96">
        <v>9.8549999999999999E-2</v>
      </c>
      <c r="G96">
        <v>5100</v>
      </c>
      <c r="H96">
        <v>5.2858352661132799E-2</v>
      </c>
      <c r="I96">
        <v>4700</v>
      </c>
      <c r="J96">
        <v>7.6702594757080106E-2</v>
      </c>
      <c r="K96">
        <v>32</v>
      </c>
      <c r="L96">
        <v>5.24749755859375E-2</v>
      </c>
      <c r="M96">
        <v>0</v>
      </c>
      <c r="N96" t="s">
        <v>119</v>
      </c>
      <c r="O96">
        <f t="shared" si="7"/>
        <v>2.4227619171142606E-2</v>
      </c>
      <c r="P96">
        <f t="shared" si="8"/>
        <v>0.92156862745098034</v>
      </c>
      <c r="Q96" t="s">
        <v>21</v>
      </c>
    </row>
    <row r="97" spans="1:17" ht="15" customHeight="1" x14ac:dyDescent="0.3">
      <c r="A97">
        <v>9</v>
      </c>
      <c r="B97">
        <v>5</v>
      </c>
      <c r="C97">
        <v>52</v>
      </c>
      <c r="D97">
        <v>81</v>
      </c>
      <c r="E97">
        <v>259</v>
      </c>
      <c r="F97">
        <v>7.9939999999999997E-2</v>
      </c>
      <c r="G97">
        <v>6700</v>
      </c>
      <c r="H97">
        <v>4.1548013687133803E-2</v>
      </c>
      <c r="I97">
        <v>6700</v>
      </c>
      <c r="J97">
        <v>0.16172766685485801</v>
      </c>
      <c r="K97">
        <v>53</v>
      </c>
      <c r="L97">
        <v>0.114935159683228</v>
      </c>
      <c r="M97">
        <v>0</v>
      </c>
      <c r="N97" t="s">
        <v>120</v>
      </c>
      <c r="O97">
        <f t="shared" si="7"/>
        <v>4.6792507171630013E-2</v>
      </c>
      <c r="P97">
        <f t="shared" si="8"/>
        <v>1</v>
      </c>
      <c r="Q97" t="s">
        <v>121</v>
      </c>
    </row>
    <row r="98" spans="1:17" ht="15" customHeight="1" x14ac:dyDescent="0.3">
      <c r="A98">
        <v>9</v>
      </c>
      <c r="B98">
        <v>6</v>
      </c>
      <c r="C98">
        <v>52</v>
      </c>
      <c r="D98">
        <v>61</v>
      </c>
      <c r="E98">
        <v>174</v>
      </c>
      <c r="F98">
        <v>9.5079999999999998E-2</v>
      </c>
      <c r="G98">
        <v>4800</v>
      </c>
      <c r="H98">
        <v>1.8955469131469699E-2</v>
      </c>
      <c r="I98">
        <v>4800</v>
      </c>
      <c r="J98">
        <v>6.4264059066772503E-2</v>
      </c>
      <c r="K98">
        <v>28</v>
      </c>
      <c r="L98">
        <v>4.4561862945556599E-2</v>
      </c>
      <c r="M98">
        <v>0</v>
      </c>
      <c r="N98" t="s">
        <v>122</v>
      </c>
      <c r="O98">
        <f t="shared" si="7"/>
        <v>1.9702196121215904E-2</v>
      </c>
      <c r="P98">
        <f t="shared" si="8"/>
        <v>1</v>
      </c>
      <c r="Q98" t="s">
        <v>21</v>
      </c>
    </row>
    <row r="99" spans="1:17" ht="15" customHeight="1" x14ac:dyDescent="0.3">
      <c r="A99">
        <v>9</v>
      </c>
      <c r="B99">
        <v>7</v>
      </c>
      <c r="C99">
        <v>52</v>
      </c>
      <c r="D99">
        <v>70</v>
      </c>
      <c r="E99">
        <v>226</v>
      </c>
      <c r="F99">
        <v>9.3579999999999997E-2</v>
      </c>
      <c r="G99">
        <v>5400</v>
      </c>
      <c r="H99">
        <v>4.4412374496460003E-2</v>
      </c>
      <c r="I99">
        <v>5400</v>
      </c>
      <c r="J99">
        <v>7.3482513427734403E-2</v>
      </c>
      <c r="K99">
        <v>21</v>
      </c>
      <c r="L99">
        <v>5.04434108734131E-2</v>
      </c>
      <c r="M99">
        <v>0</v>
      </c>
      <c r="N99" t="s">
        <v>122</v>
      </c>
      <c r="O99">
        <f t="shared" si="7"/>
        <v>2.3039102554321303E-2</v>
      </c>
      <c r="P99">
        <f t="shared" si="8"/>
        <v>1</v>
      </c>
      <c r="Q99" t="s">
        <v>21</v>
      </c>
    </row>
    <row r="100" spans="1:17" ht="15" customHeight="1" x14ac:dyDescent="0.3">
      <c r="A100">
        <v>9</v>
      </c>
      <c r="B100">
        <v>8</v>
      </c>
      <c r="C100">
        <v>52</v>
      </c>
      <c r="D100">
        <v>70</v>
      </c>
      <c r="E100">
        <v>226</v>
      </c>
      <c r="F100">
        <v>9.3579999999999997E-2</v>
      </c>
      <c r="G100">
        <v>5700</v>
      </c>
      <c r="H100">
        <v>4.4204473495483398E-2</v>
      </c>
      <c r="I100">
        <v>5300</v>
      </c>
      <c r="J100">
        <v>8.2060813903808594E-2</v>
      </c>
      <c r="K100">
        <v>33</v>
      </c>
      <c r="L100">
        <v>5.8323621749877902E-2</v>
      </c>
      <c r="M100">
        <v>0</v>
      </c>
      <c r="N100" t="s">
        <v>123</v>
      </c>
      <c r="O100">
        <f t="shared" si="7"/>
        <v>2.3737192153930692E-2</v>
      </c>
      <c r="P100">
        <f t="shared" si="8"/>
        <v>0.92982456140350878</v>
      </c>
      <c r="Q100" t="s">
        <v>21</v>
      </c>
    </row>
    <row r="101" spans="1:17" ht="15" customHeight="1" x14ac:dyDescent="0.3">
      <c r="A101">
        <v>9</v>
      </c>
      <c r="B101">
        <v>9</v>
      </c>
      <c r="C101">
        <v>52</v>
      </c>
      <c r="D101">
        <v>62</v>
      </c>
      <c r="E101">
        <v>176</v>
      </c>
      <c r="F101">
        <v>9.307E-2</v>
      </c>
      <c r="G101">
        <v>5300</v>
      </c>
      <c r="H101">
        <v>4.4806480407714802E-2</v>
      </c>
      <c r="I101">
        <v>5200</v>
      </c>
      <c r="J101">
        <v>8.3765506744384793E-2</v>
      </c>
      <c r="K101">
        <v>28</v>
      </c>
      <c r="L101">
        <v>6.2493562698364299E-2</v>
      </c>
      <c r="M101">
        <v>0</v>
      </c>
      <c r="N101" t="s">
        <v>124</v>
      </c>
      <c r="O101">
        <f t="shared" si="7"/>
        <v>2.1271944046020494E-2</v>
      </c>
      <c r="P101">
        <f t="shared" si="8"/>
        <v>0.98113207547169812</v>
      </c>
      <c r="Q101" t="s">
        <v>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Sheet1</vt:lpstr>
      <vt:lpstr>Solution Quality</vt:lpstr>
      <vt:lpstr>Computational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 Ho Shim</cp:lastModifiedBy>
  <cp:revision>0</cp:revision>
  <dcterms:created xsi:type="dcterms:W3CDTF">2026-07-09T13:31:09Z</dcterms:created>
  <dcterms:modified xsi:type="dcterms:W3CDTF">2026-07-09T18:11:26Z</dcterms:modified>
  <dc:language>en-US</dc:language>
</cp:coreProperties>
</file>