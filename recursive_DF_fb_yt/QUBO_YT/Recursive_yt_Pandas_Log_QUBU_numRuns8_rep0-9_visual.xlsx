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ing\recursive_DF_fb_yt\recursive_DF_fb_yt\QUBO_yt\"/>
    </mc:Choice>
  </mc:AlternateContent>
  <xr:revisionPtr revIDLastSave="0" documentId="13_ncr:1_{8756E00F-821D-4613-A5F7-DAA641ED73B7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Sheet1" sheetId="1" r:id="rId1"/>
    <sheet name="Solution Quality" sheetId="2" r:id="rId2"/>
    <sheet name="Computational 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/>
  <c r="O11" i="1"/>
  <c r="M11" i="1"/>
  <c r="Q10" i="1"/>
  <c r="O10" i="1"/>
  <c r="M10" i="1"/>
  <c r="Q9" i="1"/>
  <c r="O9" i="1"/>
  <c r="M9" i="1"/>
  <c r="Q8" i="1"/>
  <c r="O8" i="1"/>
  <c r="M8" i="1"/>
  <c r="Q7" i="1"/>
  <c r="O7" i="1"/>
  <c r="M7" i="1"/>
  <c r="Q6" i="1"/>
  <c r="M6" i="1"/>
  <c r="Q5" i="1"/>
  <c r="M5" i="1"/>
  <c r="Q4" i="1"/>
  <c r="M4" i="1"/>
  <c r="Q3" i="1"/>
  <c r="M3" i="1"/>
  <c r="Q2" i="1"/>
  <c r="M2" i="1"/>
</calcChain>
</file>

<file path=xl/sharedStrings.xml><?xml version="1.0" encoding="utf-8"?>
<sst xmlns="http://schemas.openxmlformats.org/spreadsheetml/2006/main" count="27" uniqueCount="27">
  <si>
    <t>Network_ID</t>
  </si>
  <si>
    <t>Rep_ID</t>
  </si>
  <si>
    <t>Users</t>
  </si>
  <si>
    <t>Conflict_Nodes</t>
  </si>
  <si>
    <t>Conflict_Edges</t>
  </si>
  <si>
    <t>Conflict_Density</t>
  </si>
  <si>
    <t>LS_Revenue</t>
  </si>
  <si>
    <t>LS_Time</t>
  </si>
  <si>
    <t>LS_Subproblems</t>
  </si>
  <si>
    <t>Theoretical_Time_Sec</t>
  </si>
  <si>
    <t>Infeasibility_Count</t>
  </si>
  <si>
    <t>Timestamp</t>
  </si>
  <si>
    <t>Administration_Time</t>
  </si>
  <si>
    <t>Initial Best Option</t>
  </si>
  <si>
    <t>Best_Single_Price</t>
  </si>
  <si>
    <t>Single_Revenue</t>
  </si>
  <si>
    <t>Revenue_Increase</t>
  </si>
  <si>
    <t>2026-07-07 11:28:37</t>
  </si>
  <si>
    <t>2026-07-08 10:09:51</t>
  </si>
  <si>
    <t>2026-07-08 10:44:24</t>
  </si>
  <si>
    <t>2026-07-08 11:01:40</t>
  </si>
  <si>
    <t>2026-07-08 11:15:23</t>
  </si>
  <si>
    <t>2026-07-08 12:05:08</t>
  </si>
  <si>
    <t>2026-07-08 12:48:54</t>
  </si>
  <si>
    <t>2026-07-08 15:16:04</t>
  </si>
  <si>
    <t>2026-07-08 15:48:37</t>
  </si>
  <si>
    <t>2026-07-08 16:18:12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</si>
</sst>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400" b="1"/>
            </a:pPr>
            <a:r>
              <a:rPr lang="en-US" sz="2400"/>
              <a:t>Single vs Heuristic Solution (YouTube)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Single_Revenue</c:v>
                </c:pt>
              </c:strCache>
            </c:strRef>
          </c:tx>
          <c:spPr>
            <a:solidFill>
              <a:srgbClr val="4F81BD"/>
            </a:solidFill>
          </c:spPr>
          <c:invertIfNegative val="1"/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Sheet1!$P$2:$P$11</c:f>
              <c:numCache>
                <c:formatCode>General</c:formatCode>
                <c:ptCount val="10"/>
                <c:pt idx="0">
                  <c:v>52580000</c:v>
                </c:pt>
                <c:pt idx="1">
                  <c:v>52533200</c:v>
                </c:pt>
                <c:pt idx="2">
                  <c:v>52497000</c:v>
                </c:pt>
                <c:pt idx="3">
                  <c:v>52468200</c:v>
                </c:pt>
                <c:pt idx="4">
                  <c:v>52507600</c:v>
                </c:pt>
                <c:pt idx="5">
                  <c:v>52596600</c:v>
                </c:pt>
                <c:pt idx="6">
                  <c:v>52481100</c:v>
                </c:pt>
                <c:pt idx="7">
                  <c:v>52536600</c:v>
                </c:pt>
                <c:pt idx="8">
                  <c:v>52864200</c:v>
                </c:pt>
                <c:pt idx="9">
                  <c:v>52630400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245-43AF-BA52-71819AA10072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LS_Revenue</c:v>
                </c:pt>
              </c:strCache>
            </c:strRef>
          </c:tx>
          <c:spPr>
            <a:solidFill>
              <a:srgbClr val="C0504D"/>
            </a:solidFill>
          </c:spPr>
          <c:invertIfNegative val="1"/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117400400</c:v>
                </c:pt>
                <c:pt idx="1">
                  <c:v>117492600</c:v>
                </c:pt>
                <c:pt idx="2">
                  <c:v>116887300</c:v>
                </c:pt>
                <c:pt idx="3">
                  <c:v>98909400</c:v>
                </c:pt>
                <c:pt idx="4">
                  <c:v>98867700</c:v>
                </c:pt>
                <c:pt idx="5">
                  <c:v>116815700</c:v>
                </c:pt>
                <c:pt idx="6">
                  <c:v>98324300</c:v>
                </c:pt>
                <c:pt idx="7">
                  <c:v>116873800</c:v>
                </c:pt>
                <c:pt idx="8">
                  <c:v>117056600</c:v>
                </c:pt>
                <c:pt idx="9">
                  <c:v>117499300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245-43AF-BA52-71819AA1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11111111"/>
        <c:axId val="222222222"/>
      </c:barChart>
      <c:lineChart>
        <c:grouping val="standard"/>
        <c:varyColors val="0"/>
        <c:ser>
          <c:idx val="2"/>
          <c:order val="2"/>
          <c:tx>
            <c:strRef>
              <c:f>Sheet1!$Q$1</c:f>
              <c:strCache>
                <c:ptCount val="1"/>
                <c:pt idx="0">
                  <c:v>Revenue_Increase</c:v>
                </c:pt>
              </c:strCache>
            </c:strRef>
          </c:tx>
          <c:spPr>
            <a:ln w="38100">
              <a:solidFill>
                <a:srgbClr val="9BBB59"/>
              </a:solidFill>
            </a:ln>
          </c:spPr>
          <c:marker>
            <c:symbol val="circle"/>
            <c:size val="6"/>
            <c:spPr>
              <a:solidFill>
                <a:srgbClr val="9BBB59"/>
              </a:solidFill>
            </c:spPr>
          </c:marker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Sheet1!$Q$2:$Q$11</c:f>
              <c:numCache>
                <c:formatCode>General</c:formatCode>
                <c:ptCount val="10"/>
                <c:pt idx="0">
                  <c:v>2.2327957398250287</c:v>
                </c:pt>
                <c:pt idx="1">
                  <c:v>2.2365399404567015</c:v>
                </c:pt>
                <c:pt idx="2">
                  <c:v>2.2265519934472446</c:v>
                </c:pt>
                <c:pt idx="3">
                  <c:v>1.8851304218555238</c:v>
                </c:pt>
                <c:pt idx="4">
                  <c:v>1.8829217103809734</c:v>
                </c:pt>
                <c:pt idx="5">
                  <c:v>2.2209743595593632</c:v>
                </c:pt>
                <c:pt idx="6">
                  <c:v>1.8735182761032068</c:v>
                </c:pt>
                <c:pt idx="7">
                  <c:v>2.2246167433750945</c:v>
                </c:pt>
                <c:pt idx="8">
                  <c:v>2.2142886868618081</c:v>
                </c:pt>
                <c:pt idx="9">
                  <c:v>2.2325367088222778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45-43AF-BA52-71819AA10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1111"/>
        <c:axId val="333333333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Rep ID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Total Revenue ($)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1111111"/>
        <c:crosses val="autoZero"/>
        <c:crossBetween val="between"/>
      </c:valAx>
      <c:valAx>
        <c:axId val="333333333"/>
        <c:scaling>
          <c:orientation val="minMax"/>
          <c:max val="2.2999999999999998"/>
          <c:min val="1"/>
        </c:scaling>
        <c:delete val="0"/>
        <c:axPos val="r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Revenue Increase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1111111"/>
        <c:crosses val="max"/>
        <c:crossBetween val="between"/>
      </c:valAx>
    </c:plotArea>
    <c:legend>
      <c:legendPos val="t"/>
      <c:overlay val="0"/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1"/>
  </c:chart>
  <c:spPr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2400" b="1"/>
            </a:pPr>
            <a:r>
              <a:rPr lang="en-US" sz="2400"/>
              <a:t>Heuristic Computational Time (YouTube)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Conflict_Edges</c:v>
                </c:pt>
              </c:strCache>
            </c:strRef>
          </c:tx>
          <c:spPr>
            <a:solidFill>
              <a:srgbClr val="92D050">
                <a:alpha val="50196"/>
              </a:srgbClr>
            </a:solidFill>
            <a:ln>
              <a:noFill/>
            </a:ln>
          </c:spPr>
          <c:invertIfNegative val="1"/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3807126</c:v>
                </c:pt>
                <c:pt idx="1">
                  <c:v>3835338</c:v>
                </c:pt>
                <c:pt idx="2">
                  <c:v>3905567</c:v>
                </c:pt>
                <c:pt idx="3">
                  <c:v>3890668</c:v>
                </c:pt>
                <c:pt idx="4">
                  <c:v>3969696</c:v>
                </c:pt>
                <c:pt idx="5">
                  <c:v>3944800</c:v>
                </c:pt>
                <c:pt idx="6">
                  <c:v>3927298</c:v>
                </c:pt>
                <c:pt idx="7">
                  <c:v>3902235</c:v>
                </c:pt>
                <c:pt idx="8">
                  <c:v>3846651</c:v>
                </c:pt>
                <c:pt idx="9">
                  <c:v>3810308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E9-43C9-8AB2-F216ADA6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11111111"/>
        <c:axId val="333333333"/>
      </c:barChart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LS_Time</c:v>
                </c:pt>
              </c:strCache>
            </c:strRef>
          </c:tx>
          <c:spPr>
            <a:ln w="38100">
              <a:solidFill>
                <a:srgbClr val="8064A2"/>
              </a:solidFill>
            </a:ln>
          </c:spPr>
          <c:marker>
            <c:symbol val="none"/>
          </c:marker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Sheet1!$H$2:$H$11</c:f>
              <c:numCache>
                <c:formatCode>General</c:formatCode>
                <c:ptCount val="10"/>
                <c:pt idx="0">
                  <c:v>1605.647488832474</c:v>
                </c:pt>
                <c:pt idx="1">
                  <c:v>1603.648744821548</c:v>
                </c:pt>
                <c:pt idx="2">
                  <c:v>2042.468265533447</c:v>
                </c:pt>
                <c:pt idx="3">
                  <c:v>1004.2022647857671</c:v>
                </c:pt>
                <c:pt idx="4">
                  <c:v>792.63485836982727</c:v>
                </c:pt>
                <c:pt idx="5">
                  <c:v>2945.355938673019</c:v>
                </c:pt>
                <c:pt idx="6">
                  <c:v>2557.2188100814819</c:v>
                </c:pt>
                <c:pt idx="7">
                  <c:v>1923.909296274185</c:v>
                </c:pt>
                <c:pt idx="8">
                  <c:v>1926.2076511383059</c:v>
                </c:pt>
                <c:pt idx="9">
                  <c:v>1747.684715747833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E9-43C9-8AB2-F216ADA651A3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Administration_Time</c:v>
                </c:pt>
              </c:strCache>
            </c:strRef>
          </c:tx>
          <c:spPr>
            <a:ln w="38100">
              <a:solidFill>
                <a:srgbClr val="C0504D"/>
              </a:solidFill>
            </a:ln>
          </c:spPr>
          <c:marker>
            <c:symbol val="none"/>
          </c:marker>
          <c:cat>
            <c:numRef>
              <c:f>Sheet1!$B$2:$B$11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Sheet1!$M$2:$M$11</c:f>
              <c:numCache>
                <c:formatCode>General</c:formatCode>
                <c:ptCount val="10"/>
                <c:pt idx="0">
                  <c:v>414.29538369178795</c:v>
                </c:pt>
                <c:pt idx="1">
                  <c:v>393.53249239921502</c:v>
                </c:pt>
                <c:pt idx="2">
                  <c:v>478.70556330680802</c:v>
                </c:pt>
                <c:pt idx="3">
                  <c:v>272.53463411331222</c:v>
                </c:pt>
                <c:pt idx="4">
                  <c:v>209.77336001396179</c:v>
                </c:pt>
                <c:pt idx="5">
                  <c:v>687.78497123718216</c:v>
                </c:pt>
                <c:pt idx="6">
                  <c:v>709.35553693771385</c:v>
                </c:pt>
                <c:pt idx="7">
                  <c:v>449.68840169906593</c:v>
                </c:pt>
                <c:pt idx="8">
                  <c:v>448.33105874061584</c:v>
                </c:pt>
                <c:pt idx="9">
                  <c:v>428.36694645881607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E9-43C9-8AB2-F216ADA65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Rep ID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Computational Time (s)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en-US"/>
          </a:p>
        </c:txPr>
        <c:crossAx val="111111111"/>
        <c:crosses val="autoZero"/>
        <c:crossBetween val="between"/>
      </c:valAx>
      <c:valAx>
        <c:axId val="33333333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2000"/>
                </a:pPr>
                <a:r>
                  <a:rPr lang="en-US" sz="2000"/>
                  <a:t>Edges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2000" b="1"/>
            </a:pPr>
            <a:endParaRPr lang="en-US"/>
          </a:p>
        </c:txPr>
        <c:crossAx val="111111111"/>
        <c:crosses val="max"/>
        <c:crossBetween val="between"/>
      </c:valAx>
    </c:plotArea>
    <c:legend>
      <c:legendPos val="t"/>
      <c:overlay val="0"/>
      <c:txPr>
        <a:bodyPr/>
        <a:lstStyle/>
        <a:p>
          <a:pPr>
            <a:defRPr sz="1600" b="1"/>
          </a:pPr>
          <a:endParaRPr lang="en-US"/>
        </a:p>
      </c:txPr>
    </c:legend>
    <c:plotVisOnly val="1"/>
    <c:dispBlanksAs val="gap"/>
    <c:showDLblsOverMax val="1"/>
  </c:chart>
  <c:spPr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107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4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4411" cy="628271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3105" cy="62825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opLeftCell="E1" workbookViewId="0">
      <selection activeCell="Q11" sqref="Q11"/>
    </sheetView>
  </sheetViews>
  <sheetFormatPr defaultRowHeight="14.4" x14ac:dyDescent="0.3"/>
  <cols>
    <col min="16" max="16" width="10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4" t="s">
        <v>15</v>
      </c>
      <c r="Q1" s="4" t="s">
        <v>16</v>
      </c>
    </row>
    <row r="2" spans="1:17" x14ac:dyDescent="0.3">
      <c r="A2">
        <v>0</v>
      </c>
      <c r="B2">
        <v>0</v>
      </c>
      <c r="C2">
        <v>1048575</v>
      </c>
      <c r="D2">
        <v>1285777</v>
      </c>
      <c r="E2">
        <v>3807126</v>
      </c>
      <c r="F2">
        <v>0</v>
      </c>
      <c r="G2">
        <v>117400400</v>
      </c>
      <c r="H2">
        <v>1605.647488832474</v>
      </c>
      <c r="I2">
        <v>1400452</v>
      </c>
      <c r="J2">
        <v>1191.352105140686</v>
      </c>
      <c r="K2">
        <v>0</v>
      </c>
      <c r="L2" t="s">
        <v>17</v>
      </c>
      <c r="M2">
        <f t="shared" ref="M2:M11" si="0">H2-J2</f>
        <v>414.29538369178795</v>
      </c>
      <c r="N2">
        <v>4</v>
      </c>
      <c r="O2">
        <v>400</v>
      </c>
      <c r="P2">
        <v>52580000</v>
      </c>
      <c r="Q2">
        <f t="shared" ref="Q2:Q11" si="1">G2/P2</f>
        <v>2.2327957398250287</v>
      </c>
    </row>
    <row r="3" spans="1:17" x14ac:dyDescent="0.3">
      <c r="A3">
        <v>0</v>
      </c>
      <c r="B3">
        <v>1</v>
      </c>
      <c r="C3">
        <v>1048575</v>
      </c>
      <c r="D3">
        <v>1285981</v>
      </c>
      <c r="E3">
        <v>3835338</v>
      </c>
      <c r="F3">
        <v>0</v>
      </c>
      <c r="G3">
        <v>117492600</v>
      </c>
      <c r="H3">
        <v>1603.648744821548</v>
      </c>
      <c r="I3">
        <v>1639792</v>
      </c>
      <c r="J3">
        <v>1210.116252422333</v>
      </c>
      <c r="K3">
        <v>0</v>
      </c>
      <c r="L3" t="s">
        <v>18</v>
      </c>
      <c r="M3">
        <f t="shared" si="0"/>
        <v>393.53249239921502</v>
      </c>
      <c r="N3">
        <v>4</v>
      </c>
      <c r="O3">
        <v>400</v>
      </c>
      <c r="P3">
        <v>52533200</v>
      </c>
      <c r="Q3">
        <f t="shared" si="1"/>
        <v>2.2365399404567015</v>
      </c>
    </row>
    <row r="4" spans="1:17" x14ac:dyDescent="0.3">
      <c r="A4">
        <v>0</v>
      </c>
      <c r="B4">
        <v>2</v>
      </c>
      <c r="C4">
        <v>1048575</v>
      </c>
      <c r="D4">
        <v>1285198</v>
      </c>
      <c r="E4">
        <v>3905567</v>
      </c>
      <c r="F4">
        <v>0</v>
      </c>
      <c r="G4">
        <v>116887300</v>
      </c>
      <c r="H4">
        <v>2042.468265533447</v>
      </c>
      <c r="I4">
        <v>2106372</v>
      </c>
      <c r="J4">
        <v>1563.762702226639</v>
      </c>
      <c r="K4">
        <v>0</v>
      </c>
      <c r="L4" t="s">
        <v>19</v>
      </c>
      <c r="M4">
        <f t="shared" si="0"/>
        <v>478.70556330680802</v>
      </c>
      <c r="N4">
        <v>6</v>
      </c>
      <c r="O4">
        <v>600</v>
      </c>
      <c r="P4">
        <v>52497000</v>
      </c>
      <c r="Q4">
        <f t="shared" si="1"/>
        <v>2.2265519934472446</v>
      </c>
    </row>
    <row r="5" spans="1:17" x14ac:dyDescent="0.3">
      <c r="A5">
        <v>0</v>
      </c>
      <c r="B5">
        <v>3</v>
      </c>
      <c r="C5">
        <v>1048575</v>
      </c>
      <c r="D5">
        <v>1281988</v>
      </c>
      <c r="E5">
        <v>3890668</v>
      </c>
      <c r="F5">
        <v>0</v>
      </c>
      <c r="G5">
        <v>98909400</v>
      </c>
      <c r="H5">
        <v>1004.2022647857671</v>
      </c>
      <c r="I5">
        <v>1223194</v>
      </c>
      <c r="J5">
        <v>731.66763067245483</v>
      </c>
      <c r="K5">
        <v>0</v>
      </c>
      <c r="L5" t="s">
        <v>20</v>
      </c>
      <c r="M5">
        <f t="shared" si="0"/>
        <v>272.53463411331222</v>
      </c>
      <c r="N5">
        <v>1</v>
      </c>
      <c r="O5">
        <v>100</v>
      </c>
      <c r="P5">
        <v>52468200</v>
      </c>
      <c r="Q5">
        <f t="shared" si="1"/>
        <v>1.8851304218555238</v>
      </c>
    </row>
    <row r="6" spans="1:17" x14ac:dyDescent="0.3">
      <c r="A6">
        <v>0</v>
      </c>
      <c r="B6">
        <v>4</v>
      </c>
      <c r="C6">
        <v>1048575</v>
      </c>
      <c r="D6">
        <v>1283895</v>
      </c>
      <c r="E6">
        <v>3969696</v>
      </c>
      <c r="F6">
        <v>0</v>
      </c>
      <c r="G6">
        <v>98867700</v>
      </c>
      <c r="H6">
        <v>792.63485836982727</v>
      </c>
      <c r="I6">
        <v>980976</v>
      </c>
      <c r="J6">
        <v>582.86149835586548</v>
      </c>
      <c r="K6">
        <v>0</v>
      </c>
      <c r="L6" t="s">
        <v>21</v>
      </c>
      <c r="M6">
        <f t="shared" si="0"/>
        <v>209.77336001396179</v>
      </c>
      <c r="N6">
        <v>2</v>
      </c>
      <c r="O6">
        <v>200</v>
      </c>
      <c r="P6">
        <v>52507600</v>
      </c>
      <c r="Q6">
        <f t="shared" si="1"/>
        <v>1.8829217103809734</v>
      </c>
    </row>
    <row r="7" spans="1:17" x14ac:dyDescent="0.3">
      <c r="A7">
        <v>0</v>
      </c>
      <c r="B7">
        <v>5</v>
      </c>
      <c r="C7">
        <v>1048575</v>
      </c>
      <c r="D7">
        <v>1284603</v>
      </c>
      <c r="E7">
        <v>3944800</v>
      </c>
      <c r="F7">
        <v>0</v>
      </c>
      <c r="G7">
        <v>116815700</v>
      </c>
      <c r="H7">
        <v>2945.355938673019</v>
      </c>
      <c r="I7">
        <v>1867795</v>
      </c>
      <c r="J7">
        <v>2257.5709674358368</v>
      </c>
      <c r="K7">
        <v>0</v>
      </c>
      <c r="L7" t="s">
        <v>22</v>
      </c>
      <c r="M7">
        <f t="shared" si="0"/>
        <v>687.78497123718216</v>
      </c>
      <c r="N7">
        <v>6</v>
      </c>
      <c r="O7">
        <f>N7*100</f>
        <v>600</v>
      </c>
      <c r="P7">
        <v>52596600</v>
      </c>
      <c r="Q7">
        <f t="shared" si="1"/>
        <v>2.2209743595593632</v>
      </c>
    </row>
    <row r="8" spans="1:17" x14ac:dyDescent="0.3">
      <c r="A8">
        <v>0</v>
      </c>
      <c r="B8">
        <v>6</v>
      </c>
      <c r="C8">
        <v>1048575</v>
      </c>
      <c r="D8">
        <v>1283900</v>
      </c>
      <c r="E8">
        <v>3927298</v>
      </c>
      <c r="F8">
        <v>0</v>
      </c>
      <c r="G8">
        <v>98324300</v>
      </c>
      <c r="H8">
        <v>2557.2188100814819</v>
      </c>
      <c r="I8">
        <v>1224225</v>
      </c>
      <c r="J8">
        <v>1847.8632731437681</v>
      </c>
      <c r="K8">
        <v>0</v>
      </c>
      <c r="L8" t="s">
        <v>23</v>
      </c>
      <c r="M8">
        <f t="shared" si="0"/>
        <v>709.35553693771385</v>
      </c>
      <c r="N8">
        <v>1</v>
      </c>
      <c r="O8">
        <f>N8*100</f>
        <v>100</v>
      </c>
      <c r="P8">
        <v>52481100</v>
      </c>
      <c r="Q8">
        <f t="shared" si="1"/>
        <v>1.8735182761032068</v>
      </c>
    </row>
    <row r="9" spans="1:17" x14ac:dyDescent="0.3">
      <c r="A9">
        <v>0</v>
      </c>
      <c r="B9">
        <v>7</v>
      </c>
      <c r="C9">
        <v>1048575</v>
      </c>
      <c r="D9">
        <v>1285250</v>
      </c>
      <c r="E9">
        <v>3902235</v>
      </c>
      <c r="F9">
        <v>0</v>
      </c>
      <c r="G9">
        <v>116873800</v>
      </c>
      <c r="H9">
        <v>1923.909296274185</v>
      </c>
      <c r="I9">
        <v>2105323</v>
      </c>
      <c r="J9">
        <v>1474.220894575119</v>
      </c>
      <c r="K9">
        <v>0</v>
      </c>
      <c r="L9" t="s">
        <v>24</v>
      </c>
      <c r="M9">
        <f t="shared" si="0"/>
        <v>449.68840169906593</v>
      </c>
      <c r="N9">
        <v>6</v>
      </c>
      <c r="O9">
        <f>N9*100</f>
        <v>600</v>
      </c>
      <c r="P9">
        <v>52536600</v>
      </c>
      <c r="Q9">
        <f t="shared" si="1"/>
        <v>2.2246167433750945</v>
      </c>
    </row>
    <row r="10" spans="1:17" x14ac:dyDescent="0.3">
      <c r="A10">
        <v>0</v>
      </c>
      <c r="B10">
        <v>8</v>
      </c>
      <c r="C10">
        <v>1048575</v>
      </c>
      <c r="D10">
        <v>1286733</v>
      </c>
      <c r="E10">
        <v>3846651</v>
      </c>
      <c r="F10">
        <v>0</v>
      </c>
      <c r="G10">
        <v>117056600</v>
      </c>
      <c r="H10">
        <v>1926.2076511383059</v>
      </c>
      <c r="I10">
        <v>2106037</v>
      </c>
      <c r="J10">
        <v>1477.87659239769</v>
      </c>
      <c r="K10">
        <v>0</v>
      </c>
      <c r="L10" t="s">
        <v>25</v>
      </c>
      <c r="M10">
        <f t="shared" si="0"/>
        <v>448.33105874061584</v>
      </c>
      <c r="N10">
        <v>6</v>
      </c>
      <c r="O10">
        <f>N10*100</f>
        <v>600</v>
      </c>
      <c r="P10">
        <v>52864200</v>
      </c>
      <c r="Q10">
        <f t="shared" si="1"/>
        <v>2.2142886868618081</v>
      </c>
    </row>
    <row r="11" spans="1:17" x14ac:dyDescent="0.3">
      <c r="A11">
        <v>0</v>
      </c>
      <c r="B11">
        <v>9</v>
      </c>
      <c r="C11">
        <v>1048575</v>
      </c>
      <c r="D11">
        <v>1286925</v>
      </c>
      <c r="E11">
        <v>3810308</v>
      </c>
      <c r="F11">
        <v>0</v>
      </c>
      <c r="G11">
        <v>117499300</v>
      </c>
      <c r="H11">
        <v>1747.684715747833</v>
      </c>
      <c r="I11">
        <v>1872995</v>
      </c>
      <c r="J11">
        <v>1319.317769289017</v>
      </c>
      <c r="K11">
        <v>0</v>
      </c>
      <c r="L11" t="s">
        <v>26</v>
      </c>
      <c r="M11">
        <f t="shared" si="0"/>
        <v>428.36694645881607</v>
      </c>
      <c r="N11">
        <v>4</v>
      </c>
      <c r="O11">
        <f>N11*100</f>
        <v>400</v>
      </c>
      <c r="P11">
        <v>52630400</v>
      </c>
      <c r="Q11">
        <f t="shared" si="1"/>
        <v>2.2325367088222778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Solution Quality</vt:lpstr>
      <vt:lpstr>Computational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Ho Shim</cp:lastModifiedBy>
  <dcterms:created xsi:type="dcterms:W3CDTF">2026-07-07T15:28:38Z</dcterms:created>
  <dcterms:modified xsi:type="dcterms:W3CDTF">2026-07-09T19:05:44Z</dcterms:modified>
</cp:coreProperties>
</file>